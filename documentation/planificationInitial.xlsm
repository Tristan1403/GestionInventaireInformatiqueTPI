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 i="1" l="1"/>
  <c r="N20" i="1"/>
  <c r="H2" i="1"/>
  <c r="J2" i="1" s="1"/>
  <c r="L2" i="1" s="1"/>
  <c r="D2" i="1"/>
  <c r="N8" i="1" l="1"/>
  <c r="B38" i="1"/>
  <c r="N38" i="1"/>
  <c r="C38" i="1"/>
  <c r="C39" i="1"/>
  <c r="A2" i="1" l="1"/>
  <c r="B10" i="1" l="1"/>
  <c r="B42" i="1"/>
  <c r="N12" i="1" l="1"/>
  <c r="N14" i="1"/>
  <c r="N16" i="1"/>
  <c r="N10" i="1"/>
  <c r="A26" i="1"/>
  <c r="B12" i="1" l="1"/>
  <c r="N54" i="1" l="1"/>
  <c r="N52" i="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C36" i="1" l="1"/>
  <c r="C16" i="1"/>
  <c r="C54" i="1"/>
  <c r="C52" i="1"/>
  <c r="C50" i="1"/>
  <c r="C1" i="6" l="1"/>
  <c r="C9" i="1" l="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F51" i="1"/>
  <c r="F39" i="1"/>
  <c r="D39" i="1"/>
  <c r="J39" i="1"/>
  <c r="L39" i="1"/>
  <c r="H39" i="1"/>
  <c r="F35" i="1"/>
  <c r="F55" i="1"/>
  <c r="D53" i="1"/>
  <c r="F31" i="1"/>
  <c r="D35" i="1"/>
  <c r="D45" i="1"/>
  <c r="F17" i="1"/>
  <c r="F37" i="1"/>
  <c r="F45" i="1"/>
  <c r="D55" i="1"/>
  <c r="D33" i="1"/>
  <c r="D4" i="1" s="1"/>
  <c r="F13" i="1"/>
  <c r="F53" i="1"/>
  <c r="F15" i="1"/>
  <c r="F33" i="1"/>
  <c r="F23" i="1"/>
  <c r="F47"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F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<sst xmlns="http://schemas.openxmlformats.org/spreadsheetml/2006/main" count="172" uniqueCount="132">
  <si>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</si>
  <si>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</si>
  <si>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</si>
  <si>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</si>
  <si>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</si>
  <si>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</si>
  <si>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</si>
  <si>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</si>
  <si>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</si>
  <si>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</si>
  <si>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</si>
  <si>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</si>
  <si>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</si>
  <si>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</si>
  <si>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</si>
  <si>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</si>
  <si>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</si>
  <si>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</si>
  <si>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</si>
  <si>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</si>
  <si>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</si>
  <si>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</si>
  <si>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</si>
  <si>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</si>
  <si>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</si>
  <si>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</si>
  <si>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</si>
  <si>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</si>
  <si>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</si>
  <si>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</si>
  <si>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</si>
  <si>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</si>
  <si>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</si>
  <si>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</si>
  <si>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</si>
  <si>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</si>
  <si>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</si>
  <si>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</si>
  <si>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</si>
  <si>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</si>
  <si>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</si>
  <si>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</si>
  <si>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</si>
  <si>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</si>
  <si>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</si>
  <si>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</si>
  <si>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</si>
  <si>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</si>
  <si>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</si>
  <si>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</si>
  <si>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</si>
  <si>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</si>
  <si>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</si>
  <si>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</si>
  <si>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</si>
  <si>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</si>
  <si>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</si>
  <si>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</si>
  <si>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</si>
  <si>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</si>
  <si>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</si>
  <si>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</si>
  <si>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</si>
  <si>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</si>
  <si>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</si>
  <si>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</si>
  <si>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</si>
  <si>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</si>
  <si>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</si>
  <si>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</si>
  <si>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</si>
  <si>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</si>
  <si>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</si>
  <si>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</si>
  <si>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</si>
  <si>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</si>
  <si>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</si>
  <si>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</si>
  <si>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</si>
  <si>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</si>
  <si>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</si>
  <si>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</si>
  <si>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</si>
  <si>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</si>
  <si>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</si>
  <si>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</si>
  <si>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</si>
  <si>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</si>
  <si>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</si>
  <si>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</si>
  <si>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</si>
  <si>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</si>
  <si>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</si>
  <si>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</si>
  <si>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</si>
  <si>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</si>
  <si>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</si>
  <si>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</si>
  <si>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</si>
  <si>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</si>
  <si>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</si>
  <si>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</si>
  <si>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</si>
  <si>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</si>
  <si>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</si>
  <si>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</si>
  <si>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</si>
  <si>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</si>
  <si>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</si>
  <si>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</si>
  <si>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</si>
  <si>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</si>
  <si>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</si>
  <si>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</si>
  <si>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</si>
  <si>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</si>
  <si>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</si>
  <si>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</si>
  <si>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</si>
  <si>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</si>
  <si>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</si>
  <si>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</si>
  <si>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</si>
  <si>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</si>
  <si>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</si>
  <si>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</si>
  <si>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</si>
  <si>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</si>
  <si>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</si>
  <si>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recherche sur le datagrid pour pouvoir récupérer les données en double cliquant sur une ligne, et la création de cette fonctionalité. Modification de la form addModifyAdmin pour s'adapter entre créer et modifier, en modifiant les données sont préinsérer</t>
  </si>
  <si>
    <t>11h50-12h15</t>
  </si>
  <si>
    <t>doc +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</si>
</sst>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4">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5"/>
  <sheetViews>
    <sheetView showZeros="0" topLeftCell="A10" zoomScale="70" zoomScaleNormal="70" zoomScalePageLayoutView="70" workbookViewId="0">
      <selection activeCell="E9" sqref="E9"/>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0.285156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t="s">
        <v>69</v>
      </c>
      <c r="D4" s="4">
        <f>D9+D11+D13+D15+D17+D21+D23+D29+D25+D31+D33</f>
        <v>0.67361111111111116</v>
      </c>
      <c r="E4" s="2"/>
      <c r="F4" s="4">
        <v>0</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SUMIFS(Journal!$D$5:$D$9942,Journal!$B$5:$B$9942,J$5,Journal!$C$5:$C$9942,$B8)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SUMIFS(Journal!$D$5:$D$9942,Journal!$B$5:$B$9942,H$5,Journal!$C$5:$C$9942,$B10)</f>
        <v>0</v>
      </c>
      <c r="I11" s="60"/>
      <c r="J11" s="58"/>
      <c r="K11" s="60"/>
      <c r="L11" s="58">
        <f>SUMIFS(Journal!$D$5:$D$9942,Journal!$B$5:$B$9942,L$5,Journal!$C$5:$C$9942,$B10)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SUMIFS(Journal!$D$5:$D$9942,Journal!$B$5:$B$9942,F$5,Journal!$C$5:$C$9942,$B12)</f>
        <v>0</v>
      </c>
      <c r="G13" s="59"/>
      <c r="H13" s="58">
        <f>SUMIFS(Journal!$D$5:$D$9942,Journal!$B$5:$B$9942,H$5,Journal!$C$5:$C$9942,$B12)</f>
        <v>0</v>
      </c>
      <c r="I13" s="60"/>
      <c r="J13" s="58">
        <f>SUMIFS(Journal!$D$5:$D$9942,Journal!$B$5:$B$9942,J$5,Journal!$C$5:$C$9942,$B12)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SUMIFS(Journal!$D$5:$D$9942,Journal!$B$5:$B$9942,F$5,Journal!$C$5:$C$9942,$B14)</f>
        <v>0</v>
      </c>
      <c r="G15" s="59"/>
      <c r="H15" s="58">
        <f>SUMIFS(Journal!$D$5:$D$9942,Journal!$B$5:$B$9942,H$5,Journal!$C$5:$C$9942,$B14)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SUMIFS(Journal!$D$5:$D$9942,Journal!$B$5:$B$9942,F$5,Journal!$C$5:$C$9942,$B16)</f>
        <v>0</v>
      </c>
      <c r="G17" s="59"/>
      <c r="H17" s="58">
        <f>SUMIFS(Journal!$D$5:$D$9942,Journal!$B$5:$B$9942,H$5,Journal!$C$5:$C$9942,$B16)</f>
        <v>0</v>
      </c>
      <c r="I17" s="60"/>
      <c r="J17" s="58"/>
      <c r="K17" s="60"/>
      <c r="L17" s="58">
        <f>SUMIFS(Journal!$D$5:$D$9942,Journal!$B$5:$B$9942,L$5,Journal!$C$5:$C$9942,$B16)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SUMIFS(Journal!$D$5:$D$9942,Journal!$B$5:$B$9942,F$5,Journal!$C$5:$C$9942,$B20)</f>
        <v>0</v>
      </c>
      <c r="G21" s="59"/>
      <c r="H21" s="58">
        <f>SUMIFS(Journal!$D$5:$D$9942,Journal!$B$5:$B$9942,H$5,Journal!$C$5:$C$9942,$B20)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SUMIFS(Journal!$D$5:$D$9942,Journal!$B$5:$B$9942,F$5,Journal!$C$5:$C$9942,$B22)</f>
        <v>0</v>
      </c>
      <c r="G23" s="59"/>
      <c r="H23" s="58">
        <f>SUMIFS(Journal!$D$5:$D$9942,Journal!$B$5:$B$9942,H$5,Journal!$C$5:$C$9942,$B22)</f>
        <v>0</v>
      </c>
      <c r="I23" s="60"/>
      <c r="J23" s="58"/>
      <c r="K23" s="60"/>
      <c r="L23" s="58">
        <f>SUMIFS(Journal!$D$5:$D$9942,Journal!$B$5:$B$9942,L$5,Journal!$C$5:$C$9942,$B22)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SUMIFS(Journal!$D$5:$D$9942,Journal!$B$5:$B$9942,H$5,Journal!$C$5:$C$9942,$B24)</f>
        <v>0</v>
      </c>
      <c r="I25" s="60"/>
      <c r="J25" s="58">
        <f>SUMIFS(Journal!$D$5:$D$9942,Journal!$B$5:$B$9942,J$5,Journal!$C$5:$C$9942,$B24)</f>
        <v>0</v>
      </c>
      <c r="K25" s="60"/>
      <c r="L25" s="58">
        <f>SUMIFS(Journal!$D$5:$D$9942,Journal!$B$5:$B$9942,L$5,Journal!$C$5:$C$9942,$B24)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4.5138888888888888E-2</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SUMIFS(Journal!$D$5:$D$9942,Journal!$B$5:$B$9942,H$5,Journal!$C$5:$C$9942,$B28)</f>
        <v>0</v>
      </c>
      <c r="I29" s="60"/>
      <c r="J29" s="58">
        <f>SUMIFS(Journal!$D$5:$D$9942,Journal!$B$5:$B$9942,J$5,Journal!$C$5:$C$9942,$B28)</f>
        <v>0</v>
      </c>
      <c r="K29" s="60"/>
      <c r="L29" s="58">
        <f>SUMIFS(Journal!$D$5:$D$9942,Journal!$B$5:$B$9942,L$5,Journal!$C$5:$C$9942,$B28)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SUMIFS(Journal!$D$5:$D$9942,Journal!$B$5:$B$9942,F$5,Journal!$C$5:$C$9942,$B30)</f>
        <v>0</v>
      </c>
      <c r="G31" s="59"/>
      <c r="H31" s="58">
        <f>SUMIFS(Journal!$D$5:$D$9942,Journal!$B$5:$B$9942,H$5,Journal!$C$5:$C$9942,$B30)</f>
        <v>0</v>
      </c>
      <c r="I31" s="60"/>
      <c r="J31" s="58">
        <f>SUMIFS(Journal!$D$5:$D$9942,Journal!$B$5:$B$9942,J$5,Journal!$C$5:$C$9942,$B30)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f>SUMIFS(Journal!$D$5:$D$9942,Journal!$B$5:$B$9942,D$5,Journal!$C$5:$C$9942,$B32)</f>
        <v>0</v>
      </c>
      <c r="E33" s="59"/>
      <c r="F33" s="58">
        <f>SUMIFS(Journal!$D$5:$D$9942,Journal!$B$5:$B$9942,F$5,Journal!$C$5:$C$9942,$B32)</f>
        <v>0</v>
      </c>
      <c r="G33" s="59"/>
      <c r="H33" s="58">
        <f>SUMIFS(Journal!$D$5:$D$9942,Journal!$B$5:$B$9942,H$5,Journal!$C$5:$C$9942,$B32)</f>
        <v>0</v>
      </c>
      <c r="I33" s="60"/>
      <c r="J33" s="58">
        <f>SUMIFS(Journal!$D$5:$D$9942,Journal!$B$5:$B$9942,J$5,Journal!$C$5:$C$9942,$B32)</f>
        <v>0</v>
      </c>
      <c r="K33" s="60"/>
      <c r="L33" s="58">
        <f>SUMIFS(Journal!$D$5:$D$9942,Journal!$B$5:$B$9942,L$5,Journal!$C$5:$C$9942,$B32)</f>
        <v>0</v>
      </c>
      <c r="M33" s="59"/>
      <c r="N33" s="61" t="str">
        <f t="shared" si="2"/>
        <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SUMIFS(Journal!$D$5:$D$9942,Journal!$B$5:$B$9942,D$5,Journal!$C$5:$C$9942,$B34)</f>
        <v>0</v>
      </c>
      <c r="E35" s="59"/>
      <c r="F35" s="58">
        <f>SUMIFS(Journal!$D$5:$D$9942,Journal!$B$5:$B$9942,F$5,Journal!$C$5:$C$9942,$B34)</f>
        <v>0</v>
      </c>
      <c r="G35" s="59"/>
      <c r="H35" s="58">
        <f>SUMIFS(Journal!$D$5:$D$9942,Journal!$B$5:$B$9942,H$5,Journal!$C$5:$C$9942,$B34)</f>
        <v>0</v>
      </c>
      <c r="I35" s="60"/>
      <c r="J35" s="58">
        <f>SUMIFS(Journal!$D$5:$D$9942,Journal!$B$5:$B$9942,J$5,Journal!$C$5:$C$9942,$B34)</f>
        <v>0</v>
      </c>
      <c r="K35" s="60"/>
      <c r="L35" s="58">
        <f>SUMIFS(Journal!$D$5:$D$9942,Journal!$B$5:$B$9942,L$5,Journal!$C$5:$C$9942,$B34)</f>
        <v>0</v>
      </c>
      <c r="M35" s="59"/>
      <c r="N35" s="61" t="str">
        <f t="shared" si="2"/>
        <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SUMIFS(Journal!$D$5:$D$9942,Journal!$B$5:$B$9942,D$5,Journal!$C$5:$C$9942,$B36)</f>
        <v>0</v>
      </c>
      <c r="E37" s="59"/>
      <c r="F37" s="58">
        <f>SUMIFS(Journal!$D$5:$D$9942,Journal!$B$5:$B$9942,F$5,Journal!$C$5:$C$9942,$B36)</f>
        <v>0</v>
      </c>
      <c r="G37" s="59"/>
      <c r="H37" s="58">
        <f>SUMIFS(Journal!$D$5:$D$9942,Journal!$B$5:$B$9942,H$5,Journal!$C$5:$C$9942,$B36)</f>
        <v>0</v>
      </c>
      <c r="I37" s="60"/>
      <c r="J37" s="58">
        <f>SUMIFS(Journal!$D$5:$D$9942,Journal!$B$5:$B$9942,J$5,Journal!$C$5:$C$9942,$B36)</f>
        <v>0</v>
      </c>
      <c r="K37" s="60"/>
      <c r="L37" s="58">
        <f>SUMIFS(Journal!$D$5:$D$9942,Journal!$B$5:$B$9942,L$5,Journal!$C$5:$C$9942,$B36)</f>
        <v>0</v>
      </c>
      <c r="M37" s="59"/>
      <c r="N37" s="61" t="str">
        <f t="shared" si="2"/>
        <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SUMIFS(Journal!$D$5:$D$9942,Journal!$B$5:$B$9942,D$5,Journal!$C$5:$C$9942,$B38)</f>
        <v>0</v>
      </c>
      <c r="E39" s="59"/>
      <c r="F39" s="58">
        <f>SUMIFS(Journal!$D$5:$D$9942,Journal!$B$5:$B$9942,F$5,Journal!$C$5:$C$9942,$B38)</f>
        <v>0</v>
      </c>
      <c r="G39" s="59"/>
      <c r="H39" s="58">
        <f>SUMIFS(Journal!$D$5:$D$9942,Journal!$B$5:$B$9942,H$5,Journal!$C$5:$C$9942,$B38)</f>
        <v>0</v>
      </c>
      <c r="I39" s="60"/>
      <c r="J39" s="58">
        <f>SUMIFS(Journal!$D$5:$D$9942,Journal!$B$5:$B$9942,J$5,Journal!$C$5:$C$9942,$B38)</f>
        <v>0</v>
      </c>
      <c r="K39" s="60"/>
      <c r="L39" s="58">
        <f>SUMIFS(Journal!$D$5:$D$9942,Journal!$B$5:$B$9942,L$5,Journal!$C$5:$C$9942,$B38)</f>
        <v>0</v>
      </c>
      <c r="M39" s="59"/>
      <c r="N39" s="61" t="str">
        <f t="shared" si="2"/>
        <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SUMIFS(Journal!$D$5:$D$9942,Journal!$B$5:$B$9942,D$5,Journal!$C$5:$C$9942,$B42)</f>
        <v>0</v>
      </c>
      <c r="E43" s="59"/>
      <c r="F43" s="58">
        <f>SUMIFS(Journal!$D$5:$D$9942,Journal!$B$5:$B$9942,F$5,Journal!$C$5:$C$9942,$B42)</f>
        <v>0</v>
      </c>
      <c r="G43" s="59"/>
      <c r="H43" s="58">
        <f>SUMIFS(Journal!$D$5:$D$9942,Journal!$B$5:$B$9942,H$5,Journal!$C$5:$C$9942,$B42)</f>
        <v>0</v>
      </c>
      <c r="I43" s="60"/>
      <c r="J43" s="58"/>
      <c r="K43" s="60"/>
      <c r="L43" s="58">
        <f>SUMIFS(Journal!$D$5:$D$9942,Journal!$B$5:$B$9942,L$5,Journal!$C$5:$C$9942,$B42)</f>
        <v>0</v>
      </c>
      <c r="M43" s="59"/>
      <c r="N43" s="61" t="str">
        <f t="shared" si="3"/>
        <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SUMIFS(Journal!$D$5:$D$9942,Journal!$B$5:$B$9942,D$5,Journal!$C$5:$C$9942,$B44)</f>
        <v>0</v>
      </c>
      <c r="E45" s="59"/>
      <c r="F45" s="58">
        <f>SUMIFS(Journal!$D$5:$D$9942,Journal!$B$5:$B$9942,F$5,Journal!$C$5:$C$9942,$B44)</f>
        <v>0</v>
      </c>
      <c r="G45" s="59"/>
      <c r="H45" s="58">
        <f>SUMIFS(Journal!$D$5:$D$9942,Journal!$B$5:$B$9942,H$5,Journal!$C$5:$C$9942,$B44)</f>
        <v>0</v>
      </c>
      <c r="I45" s="60"/>
      <c r="J45" s="58">
        <f>SUMIFS(Journal!$D$5:$D$9942,Journal!$B$5:$B$9942,J$5,Journal!$C$5:$C$9942,$B44)</f>
        <v>0</v>
      </c>
      <c r="K45" s="60"/>
      <c r="L45" s="58">
        <f>SUMIFS(Journal!$D$5:$D$9942,Journal!$B$5:$B$9942,L$5,Journal!$C$5:$C$9942,$B44)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SUMIFS(Journal!$D$5:$D$9942,Journal!$B$5:$B$9942,D$5,Journal!$C$5:$C$9942,$B46)</f>
        <v>0</v>
      </c>
      <c r="E47" s="59"/>
      <c r="F47" s="58">
        <f>SUMIFS(Journal!$D$5:$D$9942,Journal!$B$5:$B$9942,F$5,Journal!$C$5:$C$9942,$B46)</f>
        <v>0</v>
      </c>
      <c r="G47" s="59"/>
      <c r="H47" s="58">
        <f>SUMIFS(Journal!$D$5:$D$9942,Journal!$B$5:$B$9942,H$5,Journal!$C$5:$C$9942,$B46)</f>
        <v>0</v>
      </c>
      <c r="I47" s="60"/>
      <c r="J47" s="58">
        <f>SUMIFS(Journal!$D$5:$D$9942,Journal!$B$5:$B$9942,J$5,Journal!$C$5:$C$9942,$B46)</f>
        <v>0</v>
      </c>
      <c r="K47" s="60"/>
      <c r="L47" s="58">
        <f>SUMIFS(Journal!$D$5:$D$9942,Journal!$B$5:$B$9942,L$5,Journal!$C$5:$C$9942,$B46)</f>
        <v>0</v>
      </c>
      <c r="M47" s="59"/>
      <c r="N47" s="61" t="str">
        <f t="shared" si="3"/>
        <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SUMIFS(Journal!$D$5:$D$9942,Journal!$B$5:$B$9942,D$5,Journal!$C$5:$C$9942,$B50)</f>
        <v>0</v>
      </c>
      <c r="E51" s="59"/>
      <c r="F51" s="58">
        <f>SUMIFS(Journal!$D$5:$D$9942,Journal!$B$5:$B$9942,F$5,Journal!$C$5:$C$9942,$B50)</f>
        <v>0</v>
      </c>
      <c r="G51" s="59"/>
      <c r="H51" s="58">
        <f>SUMIFS(Journal!$D$5:$D$9942,Journal!$B$5:$B$9942,H$5,Journal!$C$5:$C$9942,$B50)</f>
        <v>0</v>
      </c>
      <c r="I51" s="60"/>
      <c r="J51" s="58">
        <f>SUMIFS(Journal!$D$5:$D$9942,Journal!$B$5:$B$9942,J$5,Journal!$C$5:$C$9942,$B50)</f>
        <v>0</v>
      </c>
      <c r="K51" s="60"/>
      <c r="L51" s="58">
        <f>SUMIFS(Journal!$D$5:$D$9942,Journal!$B$5:$B$9942,L$5,Journal!$C$5:$C$9942,$B50)</f>
        <v>0</v>
      </c>
      <c r="M51" s="59"/>
      <c r="N51" s="61" t="str">
        <f>IF(SUM(D51:M51)=0,"",SUM(D51:M51))</f>
        <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SUMIFS(Journal!$D$5:$D$9942,Journal!$B$5:$B$9942,D$5,Journal!$C$5:$C$9942,$B52)</f>
        <v>0</v>
      </c>
      <c r="E53" s="59"/>
      <c r="F53" s="58">
        <f>SUMIFS(Journal!$D$5:$D$9942,Journal!$B$5:$B$9942,F$5,Journal!$C$5:$C$9942,$B52)</f>
        <v>0</v>
      </c>
      <c r="G53" s="59"/>
      <c r="H53" s="58">
        <f>SUMIFS(Journal!$D$5:$D$9942,Journal!$B$5:$B$9942,H$5,Journal!$C$5:$C$9942,$B52)</f>
        <v>0</v>
      </c>
      <c r="I53" s="60"/>
      <c r="J53" s="58">
        <f>SUMIFS(Journal!$D$5:$D$9942,Journal!$B$5:$B$9942,J$5,Journal!$C$5:$C$9942,$B52)</f>
        <v>0</v>
      </c>
      <c r="K53" s="60"/>
      <c r="L53" s="58">
        <f>SUMIFS(Journal!$D$5:$D$9942,Journal!$B$5:$B$9942,L$5,Journal!$C$5:$C$9942,$B52)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 t="shared" si="4"/>
        <v>0.27777777777777779</v>
      </c>
    </row>
    <row r="55" spans="1:14" ht="15" customHeight="1" x14ac:dyDescent="0.25">
      <c r="B55" s="56"/>
      <c r="C55" s="57" t="str">
        <f>A$4</f>
        <v>temps réel</v>
      </c>
      <c r="D55" s="58">
        <f>SUMIFS(Journal!$D$5:$D$9942,Journal!$B$5:$B$9942,D$5,Journal!$C$5:$C$9942,$B54)</f>
        <v>0</v>
      </c>
      <c r="E55" s="59"/>
      <c r="F55" s="58">
        <f>SUMIFS(Journal!$D$5:$D$9942,Journal!$B$5:$B$9942,F$5,Journal!$C$5:$C$9942,$B54)</f>
        <v>0</v>
      </c>
      <c r="G55" s="59"/>
      <c r="H55" s="58">
        <f>SUMIFS(Journal!$D$5:$D$9942,Journal!$B$5:$B$9942,H$5,Journal!$C$5:$C$9942,$B54)</f>
        <v>0</v>
      </c>
      <c r="I55" s="60"/>
      <c r="J55" s="58">
        <f>SUMIFS(Journal!$D$5:$D$9942,Journal!$B$5:$B$9942,J$5,Journal!$C$5:$C$9942,$B54)</f>
        <v>0</v>
      </c>
      <c r="K55" s="60"/>
      <c r="L55" s="58">
        <f>SUMIFS(Journal!$D$5:$D$9942,Journal!$B$5:$B$9942,L$5,Journal!$C$5:$C$9942,$B54)</f>
        <v>0</v>
      </c>
      <c r="M55" s="59"/>
      <c r="N55" s="61" t="str">
        <f t="shared" si="4"/>
        <v/>
      </c>
    </row>
  </sheetData>
  <sheetProtection selectLockedCells="1"/>
  <conditionalFormatting sqref="B3">
    <cfRule type="colorScale" priority="1214">
      <colorScale>
        <cfvo type="num" val="1"/>
        <cfvo type="num" val="100000"/>
        <color theme="0" tint="-0.14999847407452621"/>
        <color theme="0" tint="-0.14999847407452621"/>
      </colorScale>
    </cfRule>
  </conditionalFormatting>
  <conditionalFormatting sqref="E4 G4 I4 K4 M4">
    <cfRule type="cellIs" dxfId="13" priority="1205" stopIfTrue="1" operator="greaterThan">
      <formula>0</formula>
    </cfRule>
  </conditionalFormatting>
  <conditionalFormatting sqref="D3">
    <cfRule type="colorScale" priority="1118">
      <colorScale>
        <cfvo type="num" val="1"/>
        <cfvo type="num" val="100000"/>
        <color theme="0" tint="-0.14999847407452621"/>
        <color theme="0" tint="-0.14999847407452621"/>
      </colorScale>
    </cfRule>
  </conditionalFormatting>
  <conditionalFormatting sqref="D4">
    <cfRule type="cellIs" dxfId="12" priority="1116" stopIfTrue="1" operator="greaterThan">
      <formula>0</formula>
    </cfRule>
  </conditionalFormatting>
  <conditionalFormatting sqref="D8:M8 D14:M14 D10:M10 D12:M12 D16:M16 D20:M20 D24:M24 D22:M22 D28:M28 D34:M34 D30:M30 D32:M32 D36:M36 D42:M42 D44:M44 D46:M46 D50:M50 D52:M52 D54:M54 D38:M38">
    <cfRule type="cellIs" dxfId="11" priority="608" operator="greaterThan">
      <formula>0</formula>
    </cfRule>
  </conditionalFormatting>
  <conditionalFormatting sqref="D9:M9 D11:M11 D13:M13 D15:M15 D17:M17 D21:M21 D23:M23 D25:M25 D29:M29 D31:M31 D33:M33 D35:M35 D37:M37 D43:M43 D45:M45 D47:M47 D51:M51 D53:M53 D55:M55 D39:M39">
    <cfRule type="cellIs" dxfId="10" priority="596" operator="greaterThan">
      <formula>0</formula>
    </cfRule>
  </conditionalFormatting>
  <conditionalFormatting sqref="F3">
    <cfRule type="colorScale" priority="387">
      <colorScale>
        <cfvo type="num" val="1"/>
        <cfvo type="num" val="100000"/>
        <color theme="0" tint="-0.14999847407452621"/>
        <color theme="0" tint="-0.14999847407452621"/>
      </colorScale>
    </cfRule>
  </conditionalFormatting>
  <conditionalFormatting sqref="F4">
    <cfRule type="cellIs" dxfId="9" priority="386" stopIfTrue="1" operator="greaterThan">
      <formula>0</formula>
    </cfRule>
  </conditionalFormatting>
  <conditionalFormatting sqref="H3">
    <cfRule type="colorScale" priority="384">
      <colorScale>
        <cfvo type="num" val="1"/>
        <cfvo type="num" val="100000"/>
        <color theme="0" tint="-0.14999847407452621"/>
        <color theme="0" tint="-0.14999847407452621"/>
      </colorScale>
    </cfRule>
  </conditionalFormatting>
  <conditionalFormatting sqref="H4">
    <cfRule type="cellIs" dxfId="8" priority="383" stopIfTrue="1" operator="greaterThan">
      <formula>0</formula>
    </cfRule>
  </conditionalFormatting>
  <conditionalFormatting sqref="J3">
    <cfRule type="colorScale" priority="381">
      <colorScale>
        <cfvo type="num" val="1"/>
        <cfvo type="num" val="100000"/>
        <color theme="0" tint="-0.14999847407452621"/>
        <color theme="0" tint="-0.14999847407452621"/>
      </colorScale>
    </cfRule>
  </conditionalFormatting>
  <conditionalFormatting sqref="J4">
    <cfRule type="cellIs" dxfId="7" priority="380" stopIfTrue="1" operator="greaterThan">
      <formula>0</formula>
    </cfRule>
  </conditionalFormatting>
  <conditionalFormatting sqref="L3">
    <cfRule type="colorScale" priority="378">
      <colorScale>
        <cfvo type="num" val="1"/>
        <cfvo type="num" val="100000"/>
        <color theme="0" tint="-0.14999847407452621"/>
        <color theme="0" tint="-0.14999847407452621"/>
      </colorScale>
    </cfRule>
  </conditionalFormatting>
  <conditionalFormatting sqref="L4">
    <cfRule type="cellIs" dxfId="6" priority="377" stopIfTrue="1" operator="greaterThan">
      <formula>0</formula>
    </cfRule>
  </conditionalFormatting>
  <conditionalFormatting sqref="N8 N10 N12 N14">
    <cfRule type="cellIs" dxfId="5" priority="180" operator="greaterThan">
      <formula>0</formula>
    </cfRule>
  </conditionalFormatting>
  <conditionalFormatting sqref="N9 N11 N13 N15">
    <cfRule type="cellIs" dxfId="4" priority="179" operator="greaterThan">
      <formula>0</formula>
    </cfRule>
  </conditionalFormatting>
  <conditionalFormatting sqref="N54 N52 N50 N46 N44 N42 N36 N34 N32 N30 N28 N24 N22 N20 N16">
    <cfRule type="cellIs" dxfId="3" priority="128" operator="greaterThan">
      <formula>0</formula>
    </cfRule>
  </conditionalFormatting>
  <conditionalFormatting sqref="N55 N53 N51 N47 N45 N43 N37 N35 N33 N31 N29 N25 N23 N21 N17">
    <cfRule type="cellIs" dxfId="2" priority="127" operator="greaterThan">
      <formula>0</formula>
    </cfRule>
  </conditionalFormatting>
  <conditionalFormatting sqref="N38">
    <cfRule type="cellIs" dxfId="1" priority="26" operator="greaterThan">
      <formula>0</formula>
    </cfRule>
  </conditionalFormatting>
  <conditionalFormatting sqref="N39">
    <cfRule type="cellIs" dxfId="0" priority="25"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02"/>
  <sheetViews>
    <sheetView tabSelected="1" zoomScale="85" zoomScaleNormal="85" workbookViewId="0">
      <pane ySplit="4" topLeftCell="A26" activePane="bottomLeft" state="frozen"/>
      <selection pane="bottomLeft" activeCell="K39" sqref="K39"/>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tr">
        <f>CONCATENATE(Base!C5," ",Base!D5)</f>
        <v>N! P!</v>
      </c>
      <c r="D1" s="93"/>
      <c r="E1" s="94">
        <f ca="1">TODAY()</f>
        <v>45055</v>
      </c>
    </row>
    <row r="2" spans="1:5" x14ac:dyDescent="0.25">
      <c r="A2" s="92" t="s">
        <v>13</v>
      </c>
      <c r="B2" s="93"/>
      <c r="C2" s="93"/>
      <c r="D2" s="93"/>
      <c r="E2" s="95"/>
    </row>
    <row r="3" spans="1:5" hidden="1" x14ac:dyDescent="0.25">
      <c r="A3" s="114"/>
      <c r="B3" s="93"/>
      <c r="C3" s="93" t="s">
        <v>110</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75" x14ac:dyDescent="0.25">
      <c r="A39" s="86"/>
      <c r="B39" s="98"/>
      <c r="C39" s="7" t="s">
        <v>57</v>
      </c>
      <c r="D39" s="90" t="s">
        <v>128</v>
      </c>
      <c r="E39" s="88" t="s">
        <v>129</v>
      </c>
    </row>
    <row r="40" spans="1:5" x14ac:dyDescent="0.25">
      <c r="A40" s="86"/>
      <c r="B40" s="98"/>
      <c r="C40" s="7" t="s">
        <v>38</v>
      </c>
      <c r="D40" s="90" t="s">
        <v>130</v>
      </c>
      <c r="E40" s="88" t="s">
        <v>131</v>
      </c>
    </row>
    <row r="41" spans="1:5" x14ac:dyDescent="0.25">
      <c r="A41" s="86">
        <v>45056</v>
      </c>
      <c r="B41" s="98">
        <v>2</v>
      </c>
      <c r="C41" s="7"/>
      <c r="D41" s="90"/>
      <c r="E41" s="88"/>
    </row>
    <row r="42" spans="1:5" x14ac:dyDescent="0.25">
      <c r="A42" s="86">
        <v>45057</v>
      </c>
      <c r="B42" s="98">
        <v>2</v>
      </c>
      <c r="C42" s="7"/>
      <c r="D42" s="90"/>
      <c r="E42" s="88"/>
    </row>
    <row r="43" spans="1:5" x14ac:dyDescent="0.25">
      <c r="A43" s="86">
        <v>45061</v>
      </c>
      <c r="B43" s="98">
        <v>3</v>
      </c>
      <c r="C43" s="7"/>
      <c r="D43" s="90"/>
      <c r="E43" s="88"/>
    </row>
    <row r="44" spans="1:5" x14ac:dyDescent="0.25">
      <c r="A44" s="86">
        <v>45062</v>
      </c>
      <c r="B44" s="98">
        <v>3</v>
      </c>
      <c r="C44" s="7"/>
      <c r="D44" s="90"/>
      <c r="E44" s="88"/>
    </row>
    <row r="45" spans="1:5" x14ac:dyDescent="0.25">
      <c r="A45" s="86">
        <v>45063</v>
      </c>
      <c r="B45" s="98">
        <v>3</v>
      </c>
      <c r="C45" s="7"/>
      <c r="D45" s="90"/>
      <c r="E45" s="88"/>
    </row>
    <row r="46" spans="1:5" x14ac:dyDescent="0.25">
      <c r="A46" s="86">
        <v>45068</v>
      </c>
      <c r="B46" s="98">
        <v>4</v>
      </c>
      <c r="C46" s="7"/>
      <c r="D46" s="90"/>
      <c r="E46" s="88"/>
    </row>
    <row r="47" spans="1:5" x14ac:dyDescent="0.25">
      <c r="A47" s="86">
        <v>45069</v>
      </c>
      <c r="B47" s="98">
        <v>4</v>
      </c>
      <c r="C47" s="7"/>
      <c r="D47" s="90"/>
      <c r="E47" s="88"/>
    </row>
    <row r="48" spans="1:5" x14ac:dyDescent="0.25">
      <c r="A48" s="86">
        <v>45070</v>
      </c>
      <c r="B48" s="98">
        <v>4</v>
      </c>
      <c r="C48" s="7"/>
      <c r="D48" s="90"/>
      <c r="E48" s="88"/>
    </row>
    <row r="49" spans="1:7" x14ac:dyDescent="0.25">
      <c r="A49" s="86">
        <v>45071</v>
      </c>
      <c r="B49" s="98">
        <v>4</v>
      </c>
      <c r="C49" s="7"/>
      <c r="D49" s="90"/>
      <c r="E49" s="88"/>
    </row>
    <row r="50" spans="1:7" x14ac:dyDescent="0.25">
      <c r="A50" s="86">
        <v>45076</v>
      </c>
      <c r="B50" s="98">
        <v>5</v>
      </c>
      <c r="C50" s="7"/>
      <c r="D50" s="90"/>
      <c r="E50" s="88"/>
    </row>
    <row r="51" spans="1:7" x14ac:dyDescent="0.25">
      <c r="A51" s="105"/>
      <c r="B51" s="106"/>
      <c r="C51" s="107"/>
      <c r="D51" s="108"/>
      <c r="E51" s="109"/>
      <c r="F51" s="110"/>
      <c r="G51" s="110"/>
    </row>
    <row r="52" spans="1:7" x14ac:dyDescent="0.25">
      <c r="A52" s="105"/>
      <c r="B52" s="106"/>
      <c r="C52" s="107"/>
      <c r="D52" s="108"/>
      <c r="E52" s="109"/>
      <c r="F52" s="110"/>
      <c r="G52" s="110"/>
    </row>
    <row r="53" spans="1:7" x14ac:dyDescent="0.25">
      <c r="A53" s="105"/>
      <c r="B53" s="106"/>
      <c r="C53" s="107"/>
      <c r="D53" s="108"/>
      <c r="E53" s="109"/>
      <c r="F53" s="110"/>
      <c r="G53" s="110"/>
    </row>
    <row r="54" spans="1:7" x14ac:dyDescent="0.25">
      <c r="A54" s="105"/>
      <c r="B54" s="106"/>
      <c r="C54" s="107"/>
      <c r="D54" s="108"/>
      <c r="E54" s="109"/>
      <c r="F54" s="110"/>
      <c r="G54" s="110"/>
    </row>
    <row r="55" spans="1:7" x14ac:dyDescent="0.25">
      <c r="A55" s="105"/>
      <c r="B55" s="106"/>
      <c r="C55" s="107"/>
      <c r="D55" s="108"/>
      <c r="E55" s="109"/>
      <c r="F55" s="110"/>
      <c r="G55" s="110"/>
    </row>
    <row r="56" spans="1:7" x14ac:dyDescent="0.25">
      <c r="A56" s="105"/>
      <c r="B56" s="106"/>
      <c r="C56" s="107"/>
      <c r="D56" s="108"/>
      <c r="E56" s="109"/>
      <c r="F56" s="110"/>
      <c r="G56" s="110"/>
    </row>
    <row r="57" spans="1:7" x14ac:dyDescent="0.25">
      <c r="A57" s="105"/>
      <c r="B57" s="106"/>
      <c r="C57" s="107"/>
      <c r="D57" s="108"/>
      <c r="E57" s="109"/>
      <c r="F57" s="110"/>
      <c r="G57" s="110"/>
    </row>
    <row r="58" spans="1:7" x14ac:dyDescent="0.25">
      <c r="A58" s="105"/>
      <c r="B58" s="106"/>
      <c r="C58" s="107"/>
      <c r="D58" s="108"/>
      <c r="E58" s="109"/>
      <c r="F58" s="110"/>
      <c r="G58" s="110"/>
    </row>
    <row r="59" spans="1:7" x14ac:dyDescent="0.25">
      <c r="A59" s="105"/>
      <c r="B59" s="106"/>
      <c r="C59" s="107"/>
      <c r="D59" s="108"/>
      <c r="E59" s="109"/>
      <c r="F59" s="110"/>
      <c r="G59" s="110"/>
    </row>
    <row r="60" spans="1:7" x14ac:dyDescent="0.25">
      <c r="A60" s="105"/>
      <c r="B60" s="106"/>
      <c r="C60" s="107"/>
      <c r="D60" s="108"/>
      <c r="E60" s="109"/>
      <c r="F60" s="110"/>
      <c r="G60" s="110"/>
    </row>
    <row r="61" spans="1:7" x14ac:dyDescent="0.25">
      <c r="A61" s="105"/>
      <c r="B61" s="106"/>
      <c r="C61" s="107"/>
      <c r="D61" s="108"/>
      <c r="E61" s="109"/>
      <c r="F61" s="110"/>
      <c r="G61" s="110"/>
    </row>
    <row r="62" spans="1:7" x14ac:dyDescent="0.25">
      <c r="A62" s="105"/>
      <c r="B62" s="106"/>
      <c r="C62" s="107"/>
      <c r="D62" s="108"/>
      <c r="E62" s="109"/>
      <c r="F62" s="110"/>
      <c r="G62" s="110"/>
    </row>
    <row r="63" spans="1:7" x14ac:dyDescent="0.25">
      <c r="A63" s="105"/>
      <c r="B63" s="106"/>
      <c r="C63" s="107"/>
      <c r="D63" s="108"/>
      <c r="E63" s="109"/>
      <c r="F63" s="110"/>
      <c r="G63" s="110"/>
    </row>
    <row r="64" spans="1:7" x14ac:dyDescent="0.25">
      <c r="A64" s="105"/>
      <c r="B64" s="106"/>
      <c r="C64" s="107"/>
      <c r="D64" s="108"/>
      <c r="E64" s="109"/>
      <c r="F64" s="110"/>
      <c r="G64" s="110"/>
    </row>
    <row r="65" spans="1:7" x14ac:dyDescent="0.25">
      <c r="A65" s="105"/>
      <c r="B65" s="106"/>
      <c r="C65" s="107"/>
      <c r="D65" s="108"/>
      <c r="E65" s="109"/>
      <c r="F65" s="110"/>
      <c r="G65" s="110"/>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f t="shared" ref="B76:B139" si="0">WEEKNUM(A76,1)</f>
        <v>0</v>
      </c>
      <c r="C76" s="107"/>
      <c r="D76" s="108"/>
      <c r="E76" s="109"/>
      <c r="F76" s="110"/>
      <c r="G76" s="110"/>
    </row>
    <row r="77" spans="1:7" x14ac:dyDescent="0.25">
      <c r="A77" s="100"/>
      <c r="B77" s="101">
        <f t="shared" si="0"/>
        <v>0</v>
      </c>
      <c r="C77" s="102"/>
      <c r="D77" s="103"/>
      <c r="E77" s="104"/>
    </row>
    <row r="78" spans="1:7" x14ac:dyDescent="0.25">
      <c r="A78" s="87"/>
      <c r="B78" s="99">
        <f t="shared" si="0"/>
        <v>0</v>
      </c>
      <c r="C78" s="8"/>
      <c r="D78" s="91"/>
      <c r="E78" s="89"/>
    </row>
    <row r="79" spans="1:7" x14ac:dyDescent="0.25">
      <c r="A79" s="87"/>
      <c r="B79" s="99">
        <f t="shared" si="0"/>
        <v>0</v>
      </c>
      <c r="C79" s="8"/>
      <c r="D79" s="91"/>
      <c r="E79" s="89"/>
    </row>
    <row r="80" spans="1:7" x14ac:dyDescent="0.25">
      <c r="A80" s="87"/>
      <c r="B80" s="99">
        <f t="shared" si="0"/>
        <v>0</v>
      </c>
      <c r="C80" s="8"/>
      <c r="D80" s="91"/>
      <c r="E80" s="89"/>
    </row>
    <row r="81" spans="1:5" x14ac:dyDescent="0.25">
      <c r="A81" s="87"/>
      <c r="B81" s="99">
        <f t="shared" si="0"/>
        <v>0</v>
      </c>
      <c r="C81" s="8"/>
      <c r="D81" s="91"/>
      <c r="E81" s="89"/>
    </row>
    <row r="82" spans="1:5" x14ac:dyDescent="0.25">
      <c r="A82" s="87"/>
      <c r="B82" s="99">
        <f t="shared" si="0"/>
        <v>0</v>
      </c>
      <c r="C82" s="8"/>
      <c r="D82" s="91"/>
      <c r="E82" s="89"/>
    </row>
    <row r="83" spans="1:5" x14ac:dyDescent="0.25">
      <c r="A83" s="87"/>
      <c r="B83" s="99">
        <f t="shared" si="0"/>
        <v>0</v>
      </c>
      <c r="C83" s="8"/>
      <c r="D83" s="91"/>
      <c r="E83" s="89"/>
    </row>
    <row r="84" spans="1:5" x14ac:dyDescent="0.25">
      <c r="A84" s="87"/>
      <c r="B84" s="99">
        <f t="shared" si="0"/>
        <v>0</v>
      </c>
      <c r="C84" s="8"/>
      <c r="D84" s="91"/>
      <c r="E84" s="89"/>
    </row>
    <row r="85" spans="1:5" x14ac:dyDescent="0.25">
      <c r="A85" s="87"/>
      <c r="B85" s="99">
        <f t="shared" si="0"/>
        <v>0</v>
      </c>
      <c r="C85" s="8"/>
      <c r="D85" s="91"/>
      <c r="E85" s="89"/>
    </row>
    <row r="86" spans="1:5" x14ac:dyDescent="0.25">
      <c r="A86" s="87"/>
      <c r="B86" s="99">
        <f t="shared" si="0"/>
        <v>0</v>
      </c>
      <c r="C86" s="8"/>
      <c r="D86" s="91"/>
      <c r="E86" s="89"/>
    </row>
    <row r="87" spans="1:5" x14ac:dyDescent="0.25">
      <c r="A87" s="87"/>
      <c r="B87" s="99">
        <f t="shared" si="0"/>
        <v>0</v>
      </c>
      <c r="C87" s="8"/>
      <c r="D87" s="91"/>
      <c r="E87" s="89"/>
    </row>
    <row r="88" spans="1:5" x14ac:dyDescent="0.25">
      <c r="A88" s="87"/>
      <c r="B88" s="99">
        <f t="shared" si="0"/>
        <v>0</v>
      </c>
      <c r="C88" s="8"/>
      <c r="D88" s="91"/>
      <c r="E88" s="89"/>
    </row>
    <row r="89" spans="1:5" x14ac:dyDescent="0.25">
      <c r="A89" s="87"/>
      <c r="B89" s="99">
        <f t="shared" si="0"/>
        <v>0</v>
      </c>
      <c r="C89" s="8"/>
      <c r="D89" s="91"/>
      <c r="E89" s="89"/>
    </row>
    <row r="90" spans="1:5" x14ac:dyDescent="0.25">
      <c r="A90" s="87"/>
      <c r="B90" s="99">
        <f t="shared" si="0"/>
        <v>0</v>
      </c>
      <c r="C90" s="8"/>
      <c r="D90" s="91"/>
      <c r="E90" s="89"/>
    </row>
    <row r="91" spans="1:5" x14ac:dyDescent="0.25">
      <c r="A91" s="87"/>
      <c r="B91" s="99">
        <f t="shared" si="0"/>
        <v>0</v>
      </c>
      <c r="C91" s="8"/>
      <c r="D91" s="91"/>
      <c r="E91" s="89"/>
    </row>
    <row r="92" spans="1:5" x14ac:dyDescent="0.25">
      <c r="A92" s="87"/>
      <c r="B92" s="99">
        <f t="shared" si="0"/>
        <v>0</v>
      </c>
      <c r="C92" s="8"/>
      <c r="D92" s="91"/>
      <c r="E92" s="89"/>
    </row>
    <row r="93" spans="1:5" x14ac:dyDescent="0.25">
      <c r="A93" s="87"/>
      <c r="B93" s="99">
        <f t="shared" si="0"/>
        <v>0</v>
      </c>
      <c r="C93" s="8"/>
      <c r="D93" s="91"/>
      <c r="E93" s="89"/>
    </row>
    <row r="94" spans="1:5" x14ac:dyDescent="0.25">
      <c r="A94" s="87"/>
      <c r="B94" s="99">
        <f t="shared" si="0"/>
        <v>0</v>
      </c>
      <c r="C94" s="8"/>
      <c r="D94" s="91"/>
      <c r="E94" s="89"/>
    </row>
    <row r="95" spans="1:5" x14ac:dyDescent="0.25">
      <c r="A95" s="87"/>
      <c r="B95" s="99">
        <f t="shared" si="0"/>
        <v>0</v>
      </c>
      <c r="C95" s="8"/>
      <c r="D95" s="91"/>
      <c r="E95" s="89"/>
    </row>
    <row r="96" spans="1:5"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ref="B140:B203" si="1">WEEKNUM(A140,1)</f>
        <v>0</v>
      </c>
      <c r="C140" s="8"/>
      <c r="D140" s="91"/>
      <c r="E140" s="89"/>
    </row>
    <row r="141" spans="1:5" x14ac:dyDescent="0.25">
      <c r="A141" s="87"/>
      <c r="B141" s="99">
        <f t="shared" si="1"/>
        <v>0</v>
      </c>
      <c r="C141" s="8"/>
      <c r="D141" s="91"/>
      <c r="E141" s="89"/>
    </row>
    <row r="142" spans="1:5" x14ac:dyDescent="0.25">
      <c r="A142" s="87"/>
      <c r="B142" s="99">
        <f t="shared" si="1"/>
        <v>0</v>
      </c>
      <c r="C142" s="8"/>
      <c r="D142" s="91"/>
      <c r="E142" s="89"/>
    </row>
    <row r="143" spans="1:5" x14ac:dyDescent="0.25">
      <c r="A143" s="87"/>
      <c r="B143" s="99">
        <f t="shared" si="1"/>
        <v>0</v>
      </c>
      <c r="C143" s="8"/>
      <c r="D143" s="91"/>
      <c r="E143" s="89"/>
    </row>
    <row r="144" spans="1:5" x14ac:dyDescent="0.25">
      <c r="A144" s="87"/>
      <c r="B144" s="99">
        <f t="shared" si="1"/>
        <v>0</v>
      </c>
      <c r="C144" s="8"/>
      <c r="D144" s="91"/>
      <c r="E144" s="89"/>
    </row>
    <row r="145" spans="1:5" x14ac:dyDescent="0.25">
      <c r="A145" s="87"/>
      <c r="B145" s="99">
        <f t="shared" si="1"/>
        <v>0</v>
      </c>
      <c r="C145" s="8"/>
      <c r="D145" s="91"/>
      <c r="E145" s="89"/>
    </row>
    <row r="146" spans="1:5" x14ac:dyDescent="0.25">
      <c r="A146" s="87"/>
      <c r="B146" s="99">
        <f t="shared" si="1"/>
        <v>0</v>
      </c>
      <c r="C146" s="8"/>
      <c r="D146" s="91"/>
      <c r="E146" s="89"/>
    </row>
    <row r="147" spans="1:5" x14ac:dyDescent="0.25">
      <c r="A147" s="87"/>
      <c r="B147" s="99">
        <f t="shared" si="1"/>
        <v>0</v>
      </c>
      <c r="C147" s="8"/>
      <c r="D147" s="91"/>
      <c r="E147" s="89"/>
    </row>
    <row r="148" spans="1:5" x14ac:dyDescent="0.25">
      <c r="A148" s="87"/>
      <c r="B148" s="99">
        <f t="shared" si="1"/>
        <v>0</v>
      </c>
      <c r="C148" s="8"/>
      <c r="D148" s="91"/>
      <c r="E148" s="89"/>
    </row>
    <row r="149" spans="1:5" x14ac:dyDescent="0.25">
      <c r="A149" s="87"/>
      <c r="B149" s="99">
        <f t="shared" si="1"/>
        <v>0</v>
      </c>
      <c r="C149" s="8"/>
      <c r="D149" s="91"/>
      <c r="E149" s="89"/>
    </row>
    <row r="150" spans="1:5" x14ac:dyDescent="0.25">
      <c r="A150" s="87"/>
      <c r="B150" s="99">
        <f t="shared" si="1"/>
        <v>0</v>
      </c>
      <c r="C150" s="8"/>
      <c r="D150" s="91"/>
      <c r="E150" s="89"/>
    </row>
    <row r="151" spans="1:5" x14ac:dyDescent="0.25">
      <c r="A151" s="87"/>
      <c r="B151" s="99">
        <f t="shared" si="1"/>
        <v>0</v>
      </c>
      <c r="C151" s="8"/>
      <c r="D151" s="91"/>
      <c r="E151" s="89"/>
    </row>
    <row r="152" spans="1:5" x14ac:dyDescent="0.25">
      <c r="A152" s="87"/>
      <c r="B152" s="99">
        <f t="shared" si="1"/>
        <v>0</v>
      </c>
      <c r="C152" s="8"/>
      <c r="D152" s="91"/>
      <c r="E152" s="89"/>
    </row>
    <row r="153" spans="1:5" x14ac:dyDescent="0.25">
      <c r="A153" s="87"/>
      <c r="B153" s="99">
        <f t="shared" si="1"/>
        <v>0</v>
      </c>
      <c r="C153" s="8"/>
      <c r="D153" s="91"/>
      <c r="E153" s="89"/>
    </row>
    <row r="154" spans="1:5" x14ac:dyDescent="0.25">
      <c r="A154" s="87"/>
      <c r="B154" s="99">
        <f t="shared" si="1"/>
        <v>0</v>
      </c>
      <c r="C154" s="8"/>
      <c r="D154" s="91"/>
      <c r="E154" s="89"/>
    </row>
    <row r="155" spans="1:5" x14ac:dyDescent="0.25">
      <c r="A155" s="87"/>
      <c r="B155" s="99">
        <f t="shared" si="1"/>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ref="B204:B267" si="2">WEEKNUM(A204,1)</f>
        <v>0</v>
      </c>
      <c r="C204" s="8"/>
      <c r="D204" s="91"/>
      <c r="E204" s="89"/>
    </row>
    <row r="205" spans="1:5" x14ac:dyDescent="0.25">
      <c r="A205" s="87"/>
      <c r="B205" s="99">
        <f t="shared" si="2"/>
        <v>0</v>
      </c>
      <c r="C205" s="8"/>
      <c r="D205" s="91"/>
      <c r="E205" s="89"/>
    </row>
    <row r="206" spans="1:5" x14ac:dyDescent="0.25">
      <c r="A206" s="87"/>
      <c r="B206" s="99">
        <f t="shared" si="2"/>
        <v>0</v>
      </c>
      <c r="C206" s="8"/>
      <c r="D206" s="91"/>
      <c r="E206" s="89"/>
    </row>
    <row r="207" spans="1:5" x14ac:dyDescent="0.25">
      <c r="A207" s="87"/>
      <c r="B207" s="99">
        <f t="shared" si="2"/>
        <v>0</v>
      </c>
      <c r="C207" s="8"/>
      <c r="D207" s="91"/>
      <c r="E207" s="89"/>
    </row>
    <row r="208" spans="1:5" x14ac:dyDescent="0.25">
      <c r="A208" s="87"/>
      <c r="B208" s="99">
        <f t="shared" si="2"/>
        <v>0</v>
      </c>
      <c r="C208" s="8"/>
      <c r="D208" s="91"/>
      <c r="E208" s="89"/>
    </row>
    <row r="209" spans="1:5" x14ac:dyDescent="0.25">
      <c r="A209" s="87"/>
      <c r="B209" s="99">
        <f t="shared" si="2"/>
        <v>0</v>
      </c>
      <c r="C209" s="8"/>
      <c r="D209" s="91"/>
      <c r="E209" s="89"/>
    </row>
    <row r="210" spans="1:5" x14ac:dyDescent="0.25">
      <c r="A210" s="87"/>
      <c r="B210" s="99">
        <f t="shared" si="2"/>
        <v>0</v>
      </c>
      <c r="C210" s="8"/>
      <c r="D210" s="91"/>
      <c r="E210" s="89"/>
    </row>
    <row r="211" spans="1:5" x14ac:dyDescent="0.25">
      <c r="A211" s="87"/>
      <c r="B211" s="99">
        <f t="shared" si="2"/>
        <v>0</v>
      </c>
      <c r="C211" s="8"/>
      <c r="D211" s="91"/>
      <c r="E211" s="89"/>
    </row>
    <row r="212" spans="1:5" x14ac:dyDescent="0.25">
      <c r="A212" s="87"/>
      <c r="B212" s="99">
        <f t="shared" si="2"/>
        <v>0</v>
      </c>
      <c r="C212" s="8"/>
      <c r="D212" s="91"/>
      <c r="E212" s="89"/>
    </row>
    <row r="213" spans="1:5" x14ac:dyDescent="0.25">
      <c r="A213" s="87"/>
      <c r="B213" s="99">
        <f t="shared" si="2"/>
        <v>0</v>
      </c>
      <c r="C213" s="8"/>
      <c r="D213" s="91"/>
      <c r="E213" s="89"/>
    </row>
    <row r="214" spans="1:5" x14ac:dyDescent="0.25">
      <c r="A214" s="87"/>
      <c r="B214" s="99">
        <f t="shared" si="2"/>
        <v>0</v>
      </c>
      <c r="C214" s="8"/>
      <c r="D214" s="91"/>
      <c r="E214" s="89"/>
    </row>
    <row r="215" spans="1:5" x14ac:dyDescent="0.25">
      <c r="A215" s="87"/>
      <c r="B215" s="99">
        <f t="shared" si="2"/>
        <v>0</v>
      </c>
      <c r="C215" s="8"/>
      <c r="D215" s="91"/>
      <c r="E215" s="89"/>
    </row>
    <row r="216" spans="1:5" x14ac:dyDescent="0.25">
      <c r="A216" s="87"/>
      <c r="B216" s="99">
        <f t="shared" si="2"/>
        <v>0</v>
      </c>
      <c r="C216" s="8"/>
      <c r="D216" s="91"/>
      <c r="E216" s="89"/>
    </row>
    <row r="217" spans="1:5" x14ac:dyDescent="0.25">
      <c r="A217" s="87"/>
      <c r="B217" s="99">
        <f t="shared" si="2"/>
        <v>0</v>
      </c>
      <c r="C217" s="8"/>
      <c r="D217" s="91"/>
      <c r="E217" s="89"/>
    </row>
    <row r="218" spans="1:5" x14ac:dyDescent="0.25">
      <c r="A218" s="87"/>
      <c r="B218" s="99">
        <f t="shared" si="2"/>
        <v>0</v>
      </c>
      <c r="C218" s="8"/>
      <c r="D218" s="91"/>
      <c r="E218" s="89"/>
    </row>
    <row r="219" spans="1:5" x14ac:dyDescent="0.25">
      <c r="A219" s="87"/>
      <c r="B219" s="99">
        <f t="shared" si="2"/>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ref="B268:B331" si="3">WEEKNUM(A268,1)</f>
        <v>0</v>
      </c>
      <c r="C268" s="8"/>
      <c r="D268" s="91"/>
      <c r="E268" s="89"/>
    </row>
    <row r="269" spans="1:5" x14ac:dyDescent="0.25">
      <c r="A269" s="87"/>
      <c r="B269" s="99">
        <f t="shared" si="3"/>
        <v>0</v>
      </c>
      <c r="C269" s="8"/>
      <c r="D269" s="91"/>
      <c r="E269" s="89"/>
    </row>
    <row r="270" spans="1:5" x14ac:dyDescent="0.25">
      <c r="A270" s="87"/>
      <c r="B270" s="99">
        <f t="shared" si="3"/>
        <v>0</v>
      </c>
      <c r="C270" s="8"/>
      <c r="D270" s="91"/>
      <c r="E270" s="89"/>
    </row>
    <row r="271" spans="1:5" x14ac:dyDescent="0.25">
      <c r="A271" s="87"/>
      <c r="B271" s="99">
        <f t="shared" si="3"/>
        <v>0</v>
      </c>
      <c r="C271" s="8"/>
      <c r="D271" s="91"/>
      <c r="E271" s="89"/>
    </row>
    <row r="272" spans="1:5" x14ac:dyDescent="0.25">
      <c r="A272" s="87"/>
      <c r="B272" s="99">
        <f t="shared" si="3"/>
        <v>0</v>
      </c>
      <c r="C272" s="8"/>
      <c r="D272" s="91"/>
      <c r="E272" s="89"/>
    </row>
    <row r="273" spans="1:5" x14ac:dyDescent="0.25">
      <c r="A273" s="87"/>
      <c r="B273" s="99">
        <f t="shared" si="3"/>
        <v>0</v>
      </c>
      <c r="C273" s="8"/>
      <c r="D273" s="91"/>
      <c r="E273" s="89"/>
    </row>
    <row r="274" spans="1:5" x14ac:dyDescent="0.25">
      <c r="A274" s="87"/>
      <c r="B274" s="99">
        <f t="shared" si="3"/>
        <v>0</v>
      </c>
      <c r="C274" s="8"/>
      <c r="D274" s="91"/>
      <c r="E274" s="89"/>
    </row>
    <row r="275" spans="1:5" x14ac:dyDescent="0.25">
      <c r="A275" s="87"/>
      <c r="B275" s="99">
        <f t="shared" si="3"/>
        <v>0</v>
      </c>
      <c r="C275" s="8"/>
      <c r="D275" s="91"/>
      <c r="E275" s="89"/>
    </row>
    <row r="276" spans="1:5" x14ac:dyDescent="0.25">
      <c r="A276" s="87"/>
      <c r="B276" s="99">
        <f t="shared" si="3"/>
        <v>0</v>
      </c>
      <c r="C276" s="8"/>
      <c r="D276" s="91"/>
      <c r="E276" s="89"/>
    </row>
    <row r="277" spans="1:5" x14ac:dyDescent="0.25">
      <c r="A277" s="87"/>
      <c r="B277" s="99">
        <f t="shared" si="3"/>
        <v>0</v>
      </c>
      <c r="C277" s="8"/>
      <c r="D277" s="91"/>
      <c r="E277" s="89"/>
    </row>
    <row r="278" spans="1:5" x14ac:dyDescent="0.25">
      <c r="A278" s="87"/>
      <c r="B278" s="99">
        <f t="shared" si="3"/>
        <v>0</v>
      </c>
      <c r="C278" s="8"/>
      <c r="D278" s="91"/>
      <c r="E278" s="89"/>
    </row>
    <row r="279" spans="1:5" x14ac:dyDescent="0.25">
      <c r="A279" s="87"/>
      <c r="B279" s="99">
        <f t="shared" si="3"/>
        <v>0</v>
      </c>
      <c r="C279" s="8"/>
      <c r="D279" s="91"/>
      <c r="E279" s="89"/>
    </row>
    <row r="280" spans="1:5" x14ac:dyDescent="0.25">
      <c r="A280" s="87"/>
      <c r="B280" s="99">
        <f t="shared" si="3"/>
        <v>0</v>
      </c>
      <c r="C280" s="8"/>
      <c r="D280" s="91"/>
      <c r="E280" s="89"/>
    </row>
    <row r="281" spans="1:5" x14ac:dyDescent="0.25">
      <c r="A281" s="87"/>
      <c r="B281" s="99">
        <f t="shared" si="3"/>
        <v>0</v>
      </c>
      <c r="C281" s="8"/>
      <c r="D281" s="91"/>
      <c r="E281" s="89"/>
    </row>
    <row r="282" spans="1:5" x14ac:dyDescent="0.25">
      <c r="A282" s="87"/>
      <c r="B282" s="99">
        <f t="shared" si="3"/>
        <v>0</v>
      </c>
      <c r="C282" s="8"/>
      <c r="D282" s="91"/>
      <c r="E282" s="89"/>
    </row>
    <row r="283" spans="1:5" x14ac:dyDescent="0.25">
      <c r="A283" s="87"/>
      <c r="B283" s="99">
        <f t="shared" si="3"/>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ref="B332:B395" si="4">WEEKNUM(A332,1)</f>
        <v>0</v>
      </c>
      <c r="C332" s="8"/>
      <c r="D332" s="91"/>
      <c r="E332" s="89"/>
    </row>
    <row r="333" spans="1:5" x14ac:dyDescent="0.25">
      <c r="A333" s="87"/>
      <c r="B333" s="99">
        <f t="shared" si="4"/>
        <v>0</v>
      </c>
      <c r="C333" s="8"/>
      <c r="D333" s="91"/>
      <c r="E333" s="89"/>
    </row>
    <row r="334" spans="1:5" x14ac:dyDescent="0.25">
      <c r="A334" s="87"/>
      <c r="B334" s="99">
        <f t="shared" si="4"/>
        <v>0</v>
      </c>
      <c r="C334" s="8"/>
      <c r="D334" s="91"/>
      <c r="E334" s="89"/>
    </row>
    <row r="335" spans="1:5" x14ac:dyDescent="0.25">
      <c r="A335" s="87"/>
      <c r="B335" s="99">
        <f t="shared" si="4"/>
        <v>0</v>
      </c>
      <c r="C335" s="8"/>
      <c r="D335" s="91"/>
      <c r="E335" s="89"/>
    </row>
    <row r="336" spans="1:5" x14ac:dyDescent="0.25">
      <c r="A336" s="87"/>
      <c r="B336" s="99">
        <f t="shared" si="4"/>
        <v>0</v>
      </c>
      <c r="C336" s="8"/>
      <c r="D336" s="91"/>
      <c r="E336" s="89"/>
    </row>
    <row r="337" spans="1:5" x14ac:dyDescent="0.25">
      <c r="A337" s="87"/>
      <c r="B337" s="99">
        <f t="shared" si="4"/>
        <v>0</v>
      </c>
      <c r="C337" s="8"/>
      <c r="D337" s="91"/>
      <c r="E337" s="89"/>
    </row>
    <row r="338" spans="1:5" x14ac:dyDescent="0.25">
      <c r="A338" s="87"/>
      <c r="B338" s="99">
        <f t="shared" si="4"/>
        <v>0</v>
      </c>
      <c r="C338" s="8"/>
      <c r="D338" s="91"/>
      <c r="E338" s="89"/>
    </row>
    <row r="339" spans="1:5" x14ac:dyDescent="0.25">
      <c r="A339" s="87"/>
      <c r="B339" s="99">
        <f t="shared" si="4"/>
        <v>0</v>
      </c>
      <c r="C339" s="8"/>
      <c r="D339" s="91"/>
      <c r="E339" s="89"/>
    </row>
    <row r="340" spans="1:5" x14ac:dyDescent="0.25">
      <c r="A340" s="87"/>
      <c r="B340" s="99">
        <f t="shared" si="4"/>
        <v>0</v>
      </c>
      <c r="C340" s="8"/>
      <c r="D340" s="91"/>
      <c r="E340" s="89"/>
    </row>
    <row r="341" spans="1:5" x14ac:dyDescent="0.25">
      <c r="A341" s="87"/>
      <c r="B341" s="99">
        <f t="shared" si="4"/>
        <v>0</v>
      </c>
      <c r="C341" s="8"/>
      <c r="D341" s="91"/>
      <c r="E341" s="89"/>
    </row>
    <row r="342" spans="1:5" x14ac:dyDescent="0.25">
      <c r="A342" s="87"/>
      <c r="B342" s="99">
        <f t="shared" si="4"/>
        <v>0</v>
      </c>
      <c r="C342" s="8"/>
      <c r="D342" s="91"/>
      <c r="E342" s="89"/>
    </row>
    <row r="343" spans="1:5" x14ac:dyDescent="0.25">
      <c r="A343" s="87"/>
      <c r="B343" s="99">
        <f t="shared" si="4"/>
        <v>0</v>
      </c>
      <c r="C343" s="8"/>
      <c r="D343" s="91"/>
      <c r="E343" s="89"/>
    </row>
    <row r="344" spans="1:5" x14ac:dyDescent="0.25">
      <c r="A344" s="87"/>
      <c r="B344" s="99">
        <f t="shared" si="4"/>
        <v>0</v>
      </c>
      <c r="C344" s="8"/>
      <c r="D344" s="91"/>
      <c r="E344" s="89"/>
    </row>
    <row r="345" spans="1:5" x14ac:dyDescent="0.25">
      <c r="A345" s="87"/>
      <c r="B345" s="99">
        <f t="shared" si="4"/>
        <v>0</v>
      </c>
      <c r="C345" s="8"/>
      <c r="D345" s="91"/>
      <c r="E345" s="89"/>
    </row>
    <row r="346" spans="1:5" x14ac:dyDescent="0.25">
      <c r="A346" s="87"/>
      <c r="B346" s="99">
        <f t="shared" si="4"/>
        <v>0</v>
      </c>
      <c r="C346" s="8"/>
      <c r="D346" s="91"/>
      <c r="E346" s="89"/>
    </row>
    <row r="347" spans="1:5" x14ac:dyDescent="0.25">
      <c r="A347" s="87"/>
      <c r="B347" s="99">
        <f t="shared" si="4"/>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ref="B396:B459" si="5">WEEKNUM(A396,1)</f>
        <v>0</v>
      </c>
      <c r="C396" s="8"/>
      <c r="D396" s="91"/>
      <c r="E396" s="89"/>
    </row>
    <row r="397" spans="1:5" x14ac:dyDescent="0.25">
      <c r="A397" s="87"/>
      <c r="B397" s="99">
        <f t="shared" si="5"/>
        <v>0</v>
      </c>
      <c r="C397" s="8"/>
      <c r="D397" s="91"/>
      <c r="E397" s="89"/>
    </row>
    <row r="398" spans="1:5" x14ac:dyDescent="0.25">
      <c r="A398" s="87"/>
      <c r="B398" s="99">
        <f t="shared" si="5"/>
        <v>0</v>
      </c>
      <c r="C398" s="8"/>
      <c r="D398" s="91"/>
      <c r="E398" s="89"/>
    </row>
    <row r="399" spans="1:5" x14ac:dyDescent="0.25">
      <c r="A399" s="87"/>
      <c r="B399" s="99">
        <f t="shared" si="5"/>
        <v>0</v>
      </c>
      <c r="C399" s="8"/>
      <c r="D399" s="91"/>
      <c r="E399" s="89"/>
    </row>
    <row r="400" spans="1:5" x14ac:dyDescent="0.25">
      <c r="A400" s="87"/>
      <c r="B400" s="99">
        <f t="shared" si="5"/>
        <v>0</v>
      </c>
      <c r="C400" s="8"/>
      <c r="D400" s="91"/>
      <c r="E400" s="89"/>
    </row>
    <row r="401" spans="1:5" x14ac:dyDescent="0.25">
      <c r="A401" s="86"/>
      <c r="B401" s="98">
        <f t="shared" si="5"/>
        <v>0</v>
      </c>
      <c r="C401" s="8"/>
      <c r="D401" s="90"/>
      <c r="E401" s="89"/>
    </row>
    <row r="402" spans="1:5" x14ac:dyDescent="0.25">
      <c r="A402" s="86"/>
      <c r="B402" s="98">
        <f t="shared" si="5"/>
        <v>0</v>
      </c>
      <c r="C402" s="8"/>
      <c r="D402" s="90"/>
      <c r="E402" s="89"/>
    </row>
    <row r="403" spans="1:5" x14ac:dyDescent="0.25">
      <c r="A403" s="86"/>
      <c r="B403" s="98">
        <f t="shared" si="5"/>
        <v>0</v>
      </c>
      <c r="C403" s="8"/>
      <c r="D403" s="90"/>
      <c r="E403" s="89"/>
    </row>
    <row r="404" spans="1:5" x14ac:dyDescent="0.25">
      <c r="A404" s="86"/>
      <c r="B404" s="98">
        <f t="shared" si="5"/>
        <v>0</v>
      </c>
      <c r="C404" s="8"/>
      <c r="D404" s="90"/>
      <c r="E404" s="89"/>
    </row>
    <row r="405" spans="1:5" x14ac:dyDescent="0.25">
      <c r="A405" s="86"/>
      <c r="B405" s="98">
        <f t="shared" si="5"/>
        <v>0</v>
      </c>
      <c r="C405" s="8"/>
      <c r="D405" s="90"/>
      <c r="E405" s="89"/>
    </row>
    <row r="406" spans="1:5" x14ac:dyDescent="0.25">
      <c r="A406" s="86"/>
      <c r="B406" s="98">
        <f t="shared" si="5"/>
        <v>0</v>
      </c>
      <c r="C406" s="8"/>
      <c r="D406" s="90"/>
      <c r="E406" s="89"/>
    </row>
    <row r="407" spans="1:5" x14ac:dyDescent="0.25">
      <c r="A407" s="86"/>
      <c r="B407" s="98">
        <f t="shared" si="5"/>
        <v>0</v>
      </c>
      <c r="C407" s="8"/>
      <c r="D407" s="90"/>
      <c r="E407" s="89"/>
    </row>
    <row r="408" spans="1:5" x14ac:dyDescent="0.25">
      <c r="A408" s="86"/>
      <c r="B408" s="98">
        <f t="shared" si="5"/>
        <v>0</v>
      </c>
      <c r="C408" s="8"/>
      <c r="D408" s="90"/>
      <c r="E408" s="89"/>
    </row>
    <row r="409" spans="1:5" x14ac:dyDescent="0.25">
      <c r="A409" s="86"/>
      <c r="B409" s="98">
        <f t="shared" si="5"/>
        <v>0</v>
      </c>
      <c r="C409" s="8"/>
      <c r="D409" s="90"/>
      <c r="E409" s="89"/>
    </row>
    <row r="410" spans="1:5" x14ac:dyDescent="0.25">
      <c r="A410" s="86"/>
      <c r="B410" s="98">
        <f t="shared" si="5"/>
        <v>0</v>
      </c>
      <c r="C410" s="8"/>
      <c r="D410" s="90"/>
      <c r="E410" s="89"/>
    </row>
    <row r="411" spans="1:5" x14ac:dyDescent="0.25">
      <c r="A411" s="86"/>
      <c r="B411" s="98">
        <f t="shared" si="5"/>
        <v>0</v>
      </c>
      <c r="C411" s="8"/>
      <c r="D411" s="90"/>
      <c r="E411" s="89"/>
    </row>
    <row r="412" spans="1:5" x14ac:dyDescent="0.25">
      <c r="A412" s="86"/>
      <c r="B412" s="98">
        <f t="shared" si="5"/>
        <v>0</v>
      </c>
      <c r="C412" s="8"/>
      <c r="D412" s="90"/>
      <c r="E412" s="89"/>
    </row>
    <row r="413" spans="1:5" x14ac:dyDescent="0.25">
      <c r="A413" s="86"/>
      <c r="B413" s="98">
        <f t="shared" si="5"/>
        <v>0</v>
      </c>
      <c r="C413" s="8"/>
      <c r="D413" s="90"/>
      <c r="E413" s="89"/>
    </row>
    <row r="414" spans="1:5" x14ac:dyDescent="0.25">
      <c r="A414" s="86"/>
      <c r="B414" s="98">
        <f t="shared" si="5"/>
        <v>0</v>
      </c>
      <c r="C414" s="8"/>
      <c r="D414" s="90"/>
      <c r="E414" s="89"/>
    </row>
    <row r="415" spans="1:5" x14ac:dyDescent="0.25">
      <c r="A415" s="86"/>
      <c r="B415" s="98">
        <f t="shared" si="5"/>
        <v>0</v>
      </c>
      <c r="C415" s="8"/>
      <c r="D415" s="90"/>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ref="B460:B523" si="6">WEEKNUM(A460,1)</f>
        <v>0</v>
      </c>
      <c r="C460" s="8"/>
      <c r="D460" s="90"/>
      <c r="E460" s="89"/>
    </row>
    <row r="461" spans="1:5" x14ac:dyDescent="0.25">
      <c r="A461" s="86"/>
      <c r="B461" s="98">
        <f t="shared" si="6"/>
        <v>0</v>
      </c>
      <c r="C461" s="8"/>
      <c r="D461" s="90"/>
      <c r="E461" s="89"/>
    </row>
    <row r="462" spans="1:5" x14ac:dyDescent="0.25">
      <c r="A462" s="86"/>
      <c r="B462" s="98">
        <f t="shared" si="6"/>
        <v>0</v>
      </c>
      <c r="C462" s="8"/>
      <c r="D462" s="90"/>
      <c r="E462" s="89"/>
    </row>
    <row r="463" spans="1:5" x14ac:dyDescent="0.25">
      <c r="A463" s="86"/>
      <c r="B463" s="98">
        <f t="shared" si="6"/>
        <v>0</v>
      </c>
      <c r="C463" s="8"/>
      <c r="D463" s="90"/>
      <c r="E463" s="89"/>
    </row>
    <row r="464" spans="1:5" x14ac:dyDescent="0.25">
      <c r="A464" s="86"/>
      <c r="B464" s="98">
        <f t="shared" si="6"/>
        <v>0</v>
      </c>
      <c r="C464" s="8"/>
      <c r="D464" s="90"/>
      <c r="E464" s="89"/>
    </row>
    <row r="465" spans="1:5" x14ac:dyDescent="0.25">
      <c r="A465" s="86"/>
      <c r="B465" s="98">
        <f t="shared" si="6"/>
        <v>0</v>
      </c>
      <c r="C465" s="8"/>
      <c r="D465" s="90"/>
      <c r="E465" s="89"/>
    </row>
    <row r="466" spans="1:5" x14ac:dyDescent="0.25">
      <c r="A466" s="86"/>
      <c r="B466" s="98">
        <f t="shared" si="6"/>
        <v>0</v>
      </c>
      <c r="C466" s="8"/>
      <c r="D466" s="90"/>
      <c r="E466" s="89"/>
    </row>
    <row r="467" spans="1:5" x14ac:dyDescent="0.25">
      <c r="A467" s="86"/>
      <c r="B467" s="98">
        <f t="shared" si="6"/>
        <v>0</v>
      </c>
      <c r="C467" s="8"/>
      <c r="D467" s="90"/>
      <c r="E467" s="89"/>
    </row>
    <row r="468" spans="1:5" x14ac:dyDescent="0.25">
      <c r="A468" s="86"/>
      <c r="B468" s="98">
        <f t="shared" si="6"/>
        <v>0</v>
      </c>
      <c r="C468" s="8"/>
      <c r="D468" s="90"/>
      <c r="E468" s="89"/>
    </row>
    <row r="469" spans="1:5" x14ac:dyDescent="0.25">
      <c r="A469" s="86"/>
      <c r="B469" s="98">
        <f t="shared" si="6"/>
        <v>0</v>
      </c>
      <c r="C469" s="8"/>
      <c r="D469" s="90"/>
      <c r="E469" s="89"/>
    </row>
    <row r="470" spans="1:5" x14ac:dyDescent="0.25">
      <c r="A470" s="86"/>
      <c r="B470" s="98">
        <f t="shared" si="6"/>
        <v>0</v>
      </c>
      <c r="C470" s="8"/>
      <c r="D470" s="90"/>
      <c r="E470" s="89"/>
    </row>
    <row r="471" spans="1:5" x14ac:dyDescent="0.25">
      <c r="A471" s="86"/>
      <c r="B471" s="98">
        <f t="shared" si="6"/>
        <v>0</v>
      </c>
      <c r="C471" s="8"/>
      <c r="D471" s="90"/>
      <c r="E471" s="89"/>
    </row>
    <row r="472" spans="1:5" x14ac:dyDescent="0.25">
      <c r="A472" s="86"/>
      <c r="B472" s="98">
        <f t="shared" si="6"/>
        <v>0</v>
      </c>
      <c r="C472" s="8"/>
      <c r="D472" s="90"/>
      <c r="E472" s="89"/>
    </row>
    <row r="473" spans="1:5" x14ac:dyDescent="0.25">
      <c r="A473" s="86"/>
      <c r="B473" s="98">
        <f t="shared" si="6"/>
        <v>0</v>
      </c>
      <c r="C473" s="8"/>
      <c r="D473" s="90"/>
      <c r="E473" s="89"/>
    </row>
    <row r="474" spans="1:5" x14ac:dyDescent="0.25">
      <c r="A474" s="86"/>
      <c r="B474" s="98">
        <f t="shared" si="6"/>
        <v>0</v>
      </c>
      <c r="C474" s="8"/>
      <c r="D474" s="90"/>
      <c r="E474" s="89"/>
    </row>
    <row r="475" spans="1:5" x14ac:dyDescent="0.25">
      <c r="A475" s="86"/>
      <c r="B475" s="98">
        <f t="shared" si="6"/>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ref="B524:B587" si="7">WEEKNUM(A524,1)</f>
        <v>0</v>
      </c>
      <c r="C524" s="8"/>
      <c r="D524" s="90"/>
      <c r="E524" s="89"/>
    </row>
    <row r="525" spans="1:5" x14ac:dyDescent="0.25">
      <c r="A525" s="86"/>
      <c r="B525" s="98">
        <f t="shared" si="7"/>
        <v>0</v>
      </c>
      <c r="C525" s="8"/>
      <c r="D525" s="90"/>
      <c r="E525" s="89"/>
    </row>
    <row r="526" spans="1:5" x14ac:dyDescent="0.25">
      <c r="A526" s="86"/>
      <c r="B526" s="98">
        <f t="shared" si="7"/>
        <v>0</v>
      </c>
      <c r="C526" s="8"/>
      <c r="D526" s="90"/>
      <c r="E526" s="89"/>
    </row>
    <row r="527" spans="1:5" x14ac:dyDescent="0.25">
      <c r="A527" s="86"/>
      <c r="B527" s="98">
        <f t="shared" si="7"/>
        <v>0</v>
      </c>
      <c r="C527" s="8"/>
      <c r="D527" s="90"/>
      <c r="E527" s="89"/>
    </row>
    <row r="528" spans="1:5" x14ac:dyDescent="0.25">
      <c r="A528" s="86"/>
      <c r="B528" s="98">
        <f t="shared" si="7"/>
        <v>0</v>
      </c>
      <c r="C528" s="8"/>
      <c r="D528" s="90"/>
      <c r="E528" s="89"/>
    </row>
    <row r="529" spans="1:5" x14ac:dyDescent="0.25">
      <c r="A529" s="86"/>
      <c r="B529" s="98">
        <f t="shared" si="7"/>
        <v>0</v>
      </c>
      <c r="C529" s="8"/>
      <c r="D529" s="90"/>
      <c r="E529" s="89"/>
    </row>
    <row r="530" spans="1:5" x14ac:dyDescent="0.25">
      <c r="A530" s="86"/>
      <c r="B530" s="98">
        <f t="shared" si="7"/>
        <v>0</v>
      </c>
      <c r="C530" s="8"/>
      <c r="D530" s="90"/>
      <c r="E530" s="89"/>
    </row>
    <row r="531" spans="1:5" x14ac:dyDescent="0.25">
      <c r="A531" s="86"/>
      <c r="B531" s="98">
        <f t="shared" si="7"/>
        <v>0</v>
      </c>
      <c r="C531" s="8"/>
      <c r="D531" s="90"/>
      <c r="E531" s="89"/>
    </row>
    <row r="532" spans="1:5" x14ac:dyDescent="0.25">
      <c r="A532" s="86"/>
      <c r="B532" s="98">
        <f t="shared" si="7"/>
        <v>0</v>
      </c>
      <c r="C532" s="8"/>
      <c r="D532" s="90"/>
      <c r="E532" s="89"/>
    </row>
    <row r="533" spans="1:5" x14ac:dyDescent="0.25">
      <c r="A533" s="86"/>
      <c r="B533" s="98">
        <f t="shared" si="7"/>
        <v>0</v>
      </c>
      <c r="C533" s="8"/>
      <c r="D533" s="90"/>
      <c r="E533" s="89"/>
    </row>
    <row r="534" spans="1:5" x14ac:dyDescent="0.25">
      <c r="A534" s="86"/>
      <c r="B534" s="98">
        <f t="shared" si="7"/>
        <v>0</v>
      </c>
      <c r="C534" s="8"/>
      <c r="D534" s="90"/>
      <c r="E534" s="89"/>
    </row>
    <row r="535" spans="1:5" x14ac:dyDescent="0.25">
      <c r="A535" s="86"/>
      <c r="B535" s="98">
        <f t="shared" si="7"/>
        <v>0</v>
      </c>
      <c r="C535" s="8"/>
      <c r="D535" s="90"/>
      <c r="E535" s="89"/>
    </row>
    <row r="536" spans="1:5" x14ac:dyDescent="0.25">
      <c r="A536" s="86"/>
      <c r="B536" s="98">
        <f t="shared" si="7"/>
        <v>0</v>
      </c>
      <c r="C536" s="8"/>
      <c r="D536" s="90"/>
      <c r="E536" s="89"/>
    </row>
    <row r="537" spans="1:5" x14ac:dyDescent="0.25">
      <c r="A537" s="86"/>
      <c r="B537" s="98">
        <f t="shared" si="7"/>
        <v>0</v>
      </c>
      <c r="C537" s="8"/>
      <c r="D537" s="90"/>
      <c r="E537" s="89"/>
    </row>
    <row r="538" spans="1:5" x14ac:dyDescent="0.25">
      <c r="A538" s="86"/>
      <c r="B538" s="98">
        <f t="shared" si="7"/>
        <v>0</v>
      </c>
      <c r="C538" s="8"/>
      <c r="D538" s="90"/>
      <c r="E538" s="89"/>
    </row>
    <row r="539" spans="1:5" x14ac:dyDescent="0.25">
      <c r="A539" s="86"/>
      <c r="B539" s="98">
        <f t="shared" si="7"/>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ref="B588:B651" si="8">WEEKNUM(A588,1)</f>
        <v>0</v>
      </c>
      <c r="C588" s="8"/>
      <c r="D588" s="90"/>
      <c r="E588" s="89"/>
    </row>
    <row r="589" spans="1:5" x14ac:dyDescent="0.25">
      <c r="A589" s="86"/>
      <c r="B589" s="98">
        <f t="shared" si="8"/>
        <v>0</v>
      </c>
      <c r="C589" s="8"/>
      <c r="D589" s="90"/>
      <c r="E589" s="89"/>
    </row>
    <row r="590" spans="1:5" x14ac:dyDescent="0.25">
      <c r="A590" s="86"/>
      <c r="B590" s="98">
        <f t="shared" si="8"/>
        <v>0</v>
      </c>
      <c r="C590" s="8"/>
      <c r="D590" s="90"/>
      <c r="E590" s="89"/>
    </row>
    <row r="591" spans="1:5" x14ac:dyDescent="0.25">
      <c r="A591" s="86"/>
      <c r="B591" s="98">
        <f t="shared" si="8"/>
        <v>0</v>
      </c>
      <c r="C591" s="8"/>
      <c r="D591" s="90"/>
      <c r="E591" s="89"/>
    </row>
    <row r="592" spans="1:5" x14ac:dyDescent="0.25">
      <c r="A592" s="86"/>
      <c r="B592" s="98">
        <f t="shared" si="8"/>
        <v>0</v>
      </c>
      <c r="C592" s="8"/>
      <c r="D592" s="90"/>
      <c r="E592" s="89"/>
    </row>
    <row r="593" spans="1:5" x14ac:dyDescent="0.25">
      <c r="A593" s="86"/>
      <c r="B593" s="98">
        <f t="shared" si="8"/>
        <v>0</v>
      </c>
      <c r="C593" s="8"/>
      <c r="D593" s="90"/>
      <c r="E593" s="89"/>
    </row>
    <row r="594" spans="1:5" x14ac:dyDescent="0.25">
      <c r="A594" s="86"/>
      <c r="B594" s="98">
        <f t="shared" si="8"/>
        <v>0</v>
      </c>
      <c r="C594" s="8"/>
      <c r="D594" s="90"/>
      <c r="E594" s="89"/>
    </row>
    <row r="595" spans="1:5" x14ac:dyDescent="0.25">
      <c r="A595" s="86"/>
      <c r="B595" s="98">
        <f t="shared" si="8"/>
        <v>0</v>
      </c>
      <c r="C595" s="8"/>
      <c r="D595" s="90"/>
      <c r="E595" s="89"/>
    </row>
    <row r="596" spans="1:5" x14ac:dyDescent="0.25">
      <c r="A596" s="86"/>
      <c r="B596" s="98">
        <f t="shared" si="8"/>
        <v>0</v>
      </c>
      <c r="C596" s="8"/>
      <c r="D596" s="90"/>
      <c r="E596" s="89"/>
    </row>
    <row r="597" spans="1:5" x14ac:dyDescent="0.25">
      <c r="A597" s="86"/>
      <c r="B597" s="98">
        <f t="shared" si="8"/>
        <v>0</v>
      </c>
      <c r="C597" s="8"/>
      <c r="D597" s="90"/>
      <c r="E597" s="89"/>
    </row>
    <row r="598" spans="1:5" x14ac:dyDescent="0.25">
      <c r="A598" s="86"/>
      <c r="B598" s="98">
        <f t="shared" si="8"/>
        <v>0</v>
      </c>
      <c r="C598" s="8"/>
      <c r="D598" s="90"/>
      <c r="E598" s="89"/>
    </row>
    <row r="599" spans="1:5" x14ac:dyDescent="0.25">
      <c r="A599" s="86"/>
      <c r="B599" s="98">
        <f t="shared" si="8"/>
        <v>0</v>
      </c>
      <c r="C599" s="8"/>
      <c r="D599" s="90"/>
      <c r="E599" s="89"/>
    </row>
    <row r="600" spans="1:5" x14ac:dyDescent="0.25">
      <c r="A600" s="86"/>
      <c r="B600" s="98">
        <f t="shared" si="8"/>
        <v>0</v>
      </c>
      <c r="C600" s="8"/>
      <c r="D600" s="90"/>
      <c r="E600" s="89"/>
    </row>
    <row r="601" spans="1:5" x14ac:dyDescent="0.25">
      <c r="A601" s="86"/>
      <c r="B601" s="98">
        <f t="shared" si="8"/>
        <v>0</v>
      </c>
      <c r="C601" s="8"/>
      <c r="D601" s="90"/>
      <c r="E601" s="89"/>
    </row>
    <row r="602" spans="1:5" x14ac:dyDescent="0.25">
      <c r="A602" s="86"/>
      <c r="B602" s="98">
        <f t="shared" si="8"/>
        <v>0</v>
      </c>
      <c r="C602" s="8"/>
      <c r="D602" s="90"/>
      <c r="E602" s="89"/>
    </row>
    <row r="603" spans="1:5" x14ac:dyDescent="0.25">
      <c r="A603" s="86"/>
      <c r="B603" s="98">
        <f t="shared" si="8"/>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ref="B652:B702" si="9">WEEKNUM(A652,1)</f>
        <v>0</v>
      </c>
      <c r="C652" s="8"/>
      <c r="D652" s="90"/>
      <c r="E652" s="89"/>
    </row>
    <row r="653" spans="1:5" x14ac:dyDescent="0.25">
      <c r="A653" s="86"/>
      <c r="B653" s="98">
        <f t="shared" si="9"/>
        <v>0</v>
      </c>
      <c r="C653" s="8"/>
      <c r="D653" s="90"/>
      <c r="E653" s="89"/>
    </row>
    <row r="654" spans="1:5" x14ac:dyDescent="0.25">
      <c r="A654" s="86"/>
      <c r="B654" s="98">
        <f t="shared" si="9"/>
        <v>0</v>
      </c>
      <c r="C654" s="8"/>
      <c r="D654" s="90"/>
      <c r="E654" s="89"/>
    </row>
    <row r="655" spans="1:5" x14ac:dyDescent="0.25">
      <c r="A655" s="86"/>
      <c r="B655" s="98">
        <f t="shared" si="9"/>
        <v>0</v>
      </c>
      <c r="C655" s="8"/>
      <c r="D655" s="90"/>
      <c r="E655" s="89"/>
    </row>
    <row r="656" spans="1:5" x14ac:dyDescent="0.25">
      <c r="A656" s="86"/>
      <c r="B656" s="98">
        <f t="shared" si="9"/>
        <v>0</v>
      </c>
      <c r="C656" s="8"/>
      <c r="D656" s="90"/>
      <c r="E656" s="89"/>
    </row>
    <row r="657" spans="1:5" x14ac:dyDescent="0.25">
      <c r="A657" s="86"/>
      <c r="B657" s="98">
        <f t="shared" si="9"/>
        <v>0</v>
      </c>
      <c r="C657" s="8"/>
      <c r="D657" s="90"/>
      <c r="E657" s="89"/>
    </row>
    <row r="658" spans="1:5" x14ac:dyDescent="0.25">
      <c r="A658" s="86"/>
      <c r="B658" s="98">
        <f t="shared" si="9"/>
        <v>0</v>
      </c>
      <c r="C658" s="8"/>
      <c r="D658" s="90"/>
      <c r="E658" s="89"/>
    </row>
    <row r="659" spans="1:5" x14ac:dyDescent="0.25">
      <c r="A659" s="86"/>
      <c r="B659" s="98">
        <f t="shared" si="9"/>
        <v>0</v>
      </c>
      <c r="C659" s="8"/>
      <c r="D659" s="90"/>
      <c r="E659" s="89"/>
    </row>
    <row r="660" spans="1:5" x14ac:dyDescent="0.25">
      <c r="A660" s="86"/>
      <c r="B660" s="98">
        <f t="shared" si="9"/>
        <v>0</v>
      </c>
      <c r="C660" s="8"/>
      <c r="D660" s="90"/>
      <c r="E660" s="89"/>
    </row>
    <row r="661" spans="1:5" x14ac:dyDescent="0.25">
      <c r="A661" s="86"/>
      <c r="B661" s="98">
        <f t="shared" si="9"/>
        <v>0</v>
      </c>
      <c r="C661" s="8"/>
      <c r="D661" s="90"/>
      <c r="E661" s="89"/>
    </row>
    <row r="662" spans="1:5" x14ac:dyDescent="0.25">
      <c r="A662" s="86"/>
      <c r="B662" s="98">
        <f t="shared" si="9"/>
        <v>0</v>
      </c>
      <c r="C662" s="8"/>
      <c r="D662" s="90"/>
      <c r="E662" s="89"/>
    </row>
    <row r="663" spans="1:5" x14ac:dyDescent="0.25">
      <c r="A663" s="86"/>
      <c r="B663" s="98">
        <f t="shared" si="9"/>
        <v>0</v>
      </c>
      <c r="C663" s="8"/>
      <c r="D663" s="90"/>
      <c r="E663" s="89"/>
    </row>
    <row r="664" spans="1:5" x14ac:dyDescent="0.25">
      <c r="A664" s="86"/>
      <c r="B664" s="98">
        <f t="shared" si="9"/>
        <v>0</v>
      </c>
      <c r="C664" s="8"/>
      <c r="D664" s="90"/>
      <c r="E664" s="89"/>
    </row>
    <row r="665" spans="1:5" x14ac:dyDescent="0.25">
      <c r="A665" s="86"/>
      <c r="B665" s="98">
        <f t="shared" si="9"/>
        <v>0</v>
      </c>
      <c r="C665" s="8"/>
      <c r="D665" s="90"/>
      <c r="E665" s="89"/>
    </row>
    <row r="666" spans="1:5" x14ac:dyDescent="0.25">
      <c r="A666" s="86"/>
      <c r="B666" s="98">
        <f t="shared" si="9"/>
        <v>0</v>
      </c>
      <c r="C666" s="8"/>
      <c r="D666" s="90"/>
      <c r="E666" s="89"/>
    </row>
    <row r="667" spans="1:5" x14ac:dyDescent="0.25">
      <c r="A667" s="86"/>
      <c r="B667" s="98">
        <f t="shared" si="9"/>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C5:C702</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2023-05-09T10:01:58Z</dcterms:modified>
</cp:coreProperties>
</file>