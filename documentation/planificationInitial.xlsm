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1" l="1"/>
  <c r="F4" i="1" l="1"/>
  <c r="D4" i="1"/>
  <c r="N56" i="1"/>
  <c r="N54" i="1"/>
  <c r="C57" i="1"/>
  <c r="C56" i="1"/>
  <c r="N22" i="1" l="1"/>
  <c r="N20" i="1"/>
  <c r="H2" i="1"/>
  <c r="J2" i="1" s="1"/>
  <c r="L2" i="1" s="1"/>
  <c r="D2" i="1"/>
  <c r="N8" i="1" l="1"/>
  <c r="B38" i="1"/>
  <c r="N38" i="1"/>
  <c r="C38" i="1"/>
  <c r="C39" i="1"/>
  <c r="A2" i="1" l="1"/>
  <c r="B10" i="1" l="1"/>
  <c r="B42" i="1"/>
  <c r="N12" i="1" l="1"/>
  <c r="N14" i="1"/>
  <c r="N16" i="1"/>
  <c r="N10" i="1"/>
  <c r="A26" i="1"/>
  <c r="B12" i="1" l="1"/>
  <c r="N52" i="1" l="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L57" i="1" l="1"/>
  <c r="C36" i="1"/>
  <c r="C16" i="1"/>
  <c r="C54" i="1"/>
  <c r="C52" i="1"/>
  <c r="C50" i="1"/>
  <c r="N57" i="1" l="1"/>
  <c r="C9" i="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D39" i="1"/>
  <c r="J39" i="1"/>
  <c r="L39" i="1"/>
  <c r="F55" i="1"/>
  <c r="D53" i="1"/>
  <c r="F31" i="1"/>
  <c r="D35" i="1"/>
  <c r="D45" i="1"/>
  <c r="F17" i="1"/>
  <c r="F45" i="1"/>
  <c r="D55" i="1"/>
  <c r="F13" i="1"/>
  <c r="F53" i="1"/>
  <c r="F15" i="1"/>
  <c r="F23" i="1"/>
  <c r="D37" i="1"/>
  <c r="D47" i="1"/>
  <c r="D51" i="1"/>
  <c r="H23" i="1"/>
  <c r="H25" i="1"/>
  <c r="H53" i="1"/>
  <c r="H37" i="1"/>
  <c r="H35" i="1"/>
  <c r="H17" i="1"/>
  <c r="H13" i="1"/>
  <c r="H33" i="1"/>
  <c r="H31" i="1"/>
  <c r="H11" i="1"/>
  <c r="H55" i="1"/>
  <c r="H47" i="1"/>
  <c r="J13" i="1"/>
  <c r="J33" i="1"/>
  <c r="J53" i="1"/>
  <c r="J35" i="1"/>
  <c r="J55" i="1"/>
  <c r="J37" i="1"/>
  <c r="J45" i="1"/>
  <c r="J25" i="1"/>
  <c r="J31" i="1"/>
  <c r="L11" i="1"/>
  <c r="L53" i="1"/>
  <c r="L17" i="1"/>
  <c r="L33" i="1"/>
  <c r="L23" i="1"/>
  <c r="L35" i="1"/>
  <c r="L37" i="1"/>
  <c r="L55" i="1"/>
  <c r="L45" i="1"/>
  <c r="L25" i="1"/>
  <c r="L47" i="1"/>
  <c r="F21" i="1"/>
  <c r="D43" i="1"/>
  <c r="J4" i="1"/>
  <c r="B4" i="1" s="1"/>
  <c r="L51"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<sst xmlns="http://schemas.openxmlformats.org/spreadsheetml/2006/main" count="278" uniqueCount="184">
  <si>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</si>
  <si>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</si>
  <si>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</si>
  <si>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</si>
  <si>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</si>
  <si>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</si>
  <si>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</si>
  <si>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</si>
  <si>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</si>
  <si>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</si>
  <si>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</si>
  <si>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</si>
  <si>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</si>
  <si>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</si>
  <si>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</si>
  <si>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</si>
  <si>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</si>
  <si>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</si>
  <si>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</si>
  <si>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</si>
  <si>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</si>
  <si>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</si>
  <si>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</si>
  <si>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</si>
  <si>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</si>
  <si>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</si>
  <si>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</si>
  <si>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</si>
  <si>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</si>
  <si>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</si>
  <si>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</si>
  <si>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</si>
  <si>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</si>
  <si>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</si>
  <si>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</si>
  <si>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</si>
  <si>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</si>
  <si>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</si>
  <si>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</si>
  <si>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</si>
  <si>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</si>
  <si>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</si>
  <si>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</si>
  <si>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</si>
  <si>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</si>
  <si>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</si>
  <si>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</si>
  <si>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</si>
  <si>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</si>
  <si>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</si>
  <si>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</si>
  <si>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</si>
  <si>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</si>
  <si>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</si>
  <si>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</si>
  <si>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</si>
  <si>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</si>
  <si>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</si>
  <si>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</si>
  <si>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</si>
  <si>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</si>
  <si>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</si>
  <si>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</si>
  <si>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</si>
  <si>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</si>
  <si>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</si>
  <si>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</si>
  <si>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</si>
  <si>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</si>
  <si>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</si>
  <si>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</si>
  <si>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</si>
  <si>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</si>
  <si>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</si>
  <si>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</si>
  <si>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</si>
  <si>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</si>
  <si>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</si>
  <si>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</si>
  <si>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</si>
  <si>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</si>
  <si>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</si>
  <si>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</si>
  <si>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</si>
  <si>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</si>
  <si>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</si>
  <si>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</si>
  <si>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</si>
  <si>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</si>
  <si>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</si>
  <si>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</si>
  <si>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</si>
  <si>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</si>
  <si>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</si>
  <si>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</si>
  <si>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</si>
  <si>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</si>
  <si>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</si>
  <si>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</si>
  <si>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</si>
  <si>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</si>
  <si>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</si>
  <si>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</si>
  <si>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</si>
  <si>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</si>
  <si>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</si>
  <si>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</si>
  <si>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</si>
  <si>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</si>
  <si>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</si>
  <si>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</si>
  <si>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</si>
  <si>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</si>
  <si>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</si>
  <si>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</si>
  <si>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</si>
  <si>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</si>
  <si>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</si>
  <si>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</si>
  <si>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</si>
  <si>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</si>
  <si>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</si>
  <si>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</si>
  <si>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</si>
  <si>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</si>
  <si>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</si>
  <si>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</si>
  <si>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</si>
  <si>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</si>
  <si>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</si>
  <si>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</si>
  <si>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</si>
  <si>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</si>
  <si>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</si>
  <si>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</si>
  <si>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</si>
  <si>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</si>
  <si>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</si>
  <si>
    <t>mise en place de restriction en cas de suppression  d'un éléments d'une liste utilisé par un materiel</t>
  </si>
  <si>
    <t>09h50-12h00</t>
  </si>
  <si>
    <t>mise en place des éléments de base pour cet objectif modification de la fonction getMatériel, recherche sur des fonctions lier au datagrid notmanet le fait de rendre invisible certaine colone, correction d'un bug avec getId</t>
  </si>
  <si>
    <t>journal de travail</t>
  </si>
  <si>
    <t>13h30-15h05</t>
  </si>
  <si>
    <t>envoie des données entrez dans la recherche justqu'au dataGrid, dataGrid affiche seulement les critères important et critère choisis</t>
  </si>
  <si>
    <t>les lignes sont toutes invisible justqu'a qu'il y aie une des caractéristiques qui sont similaire, alors les lignes concerné sont visible, recherche pour les data gridsview notamment une exception qui se lance quand la première ligne est rendu invisible</t>
  </si>
  <si>
    <t>mise en place concrète de l'affichage par recherche faite dans la partie ListUser, fonction GetMessage créer qui permet de voir la liste des messgaes d'un materiel, affichage des modifications dans le show détail, affichage des détails dans show détail, l'affichage des matériels avec crière affiche tous les éléments qui ont au moins un critères et non pas les éléments qui ont les 2</t>
  </si>
  <si>
    <t>journal de travail + doc</t>
  </si>
  <si>
    <t>13h30-16h45</t>
  </si>
  <si>
    <t>mise en place de l'agoritmie de trie pour les recherches de matériel lorsque plusieurs critères étaient choisis tous ceux qui avait au moins un critère de juste s'affichait, j'ai pris pas mal de temps pour trouver une solution viable car au début je partai sur un switch avec pour chaque cas minimum 15 lignes. J'ai finis les grosses parties du code mais il manque les commentaires, le refactoring et la correction de bug</t>
  </si>
  <si>
    <t>16h45-16h55</t>
  </si>
  <si>
    <t>journal de travail + git</t>
  </si>
  <si>
    <t>Gestion d'inventaire de matériel informatique de l'école</t>
  </si>
  <si>
    <t>Autre</t>
  </si>
  <si>
    <t>mise en forme</t>
  </si>
  <si>
    <t>08h30-08h50</t>
  </si>
  <si>
    <t>visite de l'expert</t>
  </si>
  <si>
    <t>08h50-09h35</t>
  </si>
  <si>
    <t>test de insertiongetMateriel modifier et cration du</t>
  </si>
  <si>
    <t>finalisation de la classe de test tous les tests sont créer et effectif</t>
  </si>
  <si>
    <t>11h15-12h15</t>
  </si>
  <si>
    <t>09h50-11h15</t>
  </si>
  <si>
    <t>insertion des tests unitaires dans le rapport + journal de travail</t>
  </si>
  <si>
    <t>refactorisation du code</t>
  </si>
  <si>
    <t>13h30-16h00</t>
  </si>
  <si>
    <t>J'ai essayé de refactoriser une partie de code qui permet de trier le matériel qui correspond au critère car j'ai 100 lignes de code alors que je suis sûr qu'il y a une manière de faire bien plus court, le code que j'ai fait est disponible en commentaire dans ListMaterialUser</t>
  </si>
  <si>
    <t>16h00-16h45</t>
  </si>
  <si>
    <t>la maquette à été mise a jour avec les titres en dessus  de chaque fenêtre, finalisation des tests.</t>
  </si>
  <si>
    <t>réalisation des tests système et finalisation des tests unitaire</t>
  </si>
  <si>
    <t>partie réalisation, tous les tests + dossier de réalisation, changement des titres de la maquette</t>
  </si>
  <si>
    <t>script insértion de données</t>
  </si>
  <si>
    <t>09h50-12h15</t>
  </si>
  <si>
    <t>création du script avec des données à insérer</t>
  </si>
  <si>
    <t>correction d'un bug avec le login qui marchait plus avec les nouvelles données insérer</t>
  </si>
  <si>
    <t>list des documents fournis mise en forme des images maquette, mise en forme général du rapport</t>
  </si>
  <si>
    <t>le test getList n'était pas utile car elle pouvait être intégrer à AddDeleteGetListWordTest ce qui permet de pouvoir modifier la liste de storage place sans faire un échec dans le teste</t>
  </si>
  <si>
    <t>écriture des commentaires et effacer des doublons maintenant je touche plus au code et les tests sont toujoours fonctionnel</t>
  </si>
  <si>
    <t>13h30-16h30</t>
  </si>
  <si>
    <t>erreurs retantes, sources, anuel d'utilisation, MCD</t>
  </si>
  <si>
    <t>16h30-16h55</t>
  </si>
  <si>
    <t>mail + journal de travail</t>
  </si>
  <si>
    <t>08h00-12h00</t>
  </si>
  <si>
    <t>conclusion, resumé, diagramme de classe</t>
  </si>
  <si>
    <t>bug pour l'aide à l'insértion de données dans lequel, on ne pouvait que rajouter/supprimer un seul éléments</t>
  </si>
  <si>
    <t>description classe, glossaire, correction orthographe, petite modification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</si>
</sst>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8">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7"/>
  <sheetViews>
    <sheetView showZeros="0" topLeftCell="A16" zoomScale="70" zoomScaleNormal="70" zoomScalePageLayoutView="70" workbookViewId="0">
      <selection activeCell="T30" sqref="T30"/>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1.425781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f>D4+F4+H4+J4+L4</f>
        <v>3.447916666666667</v>
      </c>
      <c r="D4" s="4">
        <f>D9+D11+D13+D15+D17+D21+D23+D29+D25+D31+D33+D57</f>
        <v>0.7777777777777779</v>
      </c>
      <c r="E4" s="2"/>
      <c r="F4" s="4">
        <f>F33+F35+F37+F39+F43+F47+F51+F57</f>
        <v>1.0069444444444444</v>
      </c>
      <c r="G4" s="3"/>
      <c r="H4" s="4">
        <f>H39+H43+H45+H51+H57</f>
        <v>0.67013888888888895</v>
      </c>
      <c r="I4" s="3"/>
      <c r="J4" s="4">
        <f>J47+J51+J57</f>
        <v>0.99305555555555558</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SUMIFS(Journal!$D$5:$D$9972,Journal!$B$5:$B$9972,J$5,Journal!$C$5:$C$9972,$B8)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SUMIFS(Journal!$D$5:$D$9972,Journal!$B$5:$B$9972,H$5,Journal!$C$5:$C$9972,$B10)</f>
        <v>0</v>
      </c>
      <c r="I11" s="60"/>
      <c r="J11" s="58"/>
      <c r="K11" s="60"/>
      <c r="L11" s="58">
        <f>SUMIFS(Journal!$D$5:$D$9972,Journal!$B$5:$B$9972,L$5,Journal!$C$5:$C$9972,$B10)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SUMIFS(Journal!$D$5:$D$9972,Journal!$B$5:$B$9972,F$5,Journal!$C$5:$C$9972,$B12)</f>
        <v>0</v>
      </c>
      <c r="G13" s="59"/>
      <c r="H13" s="58">
        <f>SUMIFS(Journal!$D$5:$D$9972,Journal!$B$5:$B$9972,H$5,Journal!$C$5:$C$9972,$B12)</f>
        <v>0</v>
      </c>
      <c r="I13" s="60"/>
      <c r="J13" s="58">
        <f>SUMIFS(Journal!$D$5:$D$9972,Journal!$B$5:$B$9972,J$5,Journal!$C$5:$C$9972,$B12)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SUMIFS(Journal!$D$5:$D$9972,Journal!$B$5:$B$9972,F$5,Journal!$C$5:$C$9972,$B14)</f>
        <v>0</v>
      </c>
      <c r="G15" s="59"/>
      <c r="H15" s="58">
        <f>SUMIFS(Journal!$D$5:$D$9972,Journal!$B$5:$B$9972,H$5,Journal!$C$5:$C$9972,$B14)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SUMIFS(Journal!$D$5:$D$9972,Journal!$B$5:$B$9972,F$5,Journal!$C$5:$C$9972,$B16)</f>
        <v>0</v>
      </c>
      <c r="G17" s="59"/>
      <c r="H17" s="58">
        <f>SUMIFS(Journal!$D$5:$D$9972,Journal!$B$5:$B$9972,H$5,Journal!$C$5:$C$9972,$B16)</f>
        <v>0</v>
      </c>
      <c r="I17" s="60"/>
      <c r="J17" s="58"/>
      <c r="K17" s="60"/>
      <c r="L17" s="58">
        <f>SUMIFS(Journal!$D$5:$D$9972,Journal!$B$5:$B$9972,L$5,Journal!$C$5:$C$9972,$B16)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SUMIFS(Journal!$D$5:$D$9972,Journal!$B$5:$B$9972,F$5,Journal!$C$5:$C$9972,$B20)</f>
        <v>0</v>
      </c>
      <c r="G21" s="59"/>
      <c r="H21" s="58">
        <f>SUMIFS(Journal!$D$5:$D$9972,Journal!$B$5:$B$9972,H$5,Journal!$C$5:$C$9972,$B20)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SUMIFS(Journal!$D$5:$D$9972,Journal!$B$5:$B$9972,F$5,Journal!$C$5:$C$9972,$B22)</f>
        <v>0</v>
      </c>
      <c r="G23" s="59"/>
      <c r="H23" s="58">
        <f>SUMIFS(Journal!$D$5:$D$9972,Journal!$B$5:$B$9972,H$5,Journal!$C$5:$C$9972,$B22)</f>
        <v>0</v>
      </c>
      <c r="I23" s="60"/>
      <c r="J23" s="58"/>
      <c r="K23" s="60"/>
      <c r="L23" s="58">
        <f>SUMIFS(Journal!$D$5:$D$9972,Journal!$B$5:$B$9972,L$5,Journal!$C$5:$C$9972,$B22)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SUMIFS(Journal!$D$5:$D$9972,Journal!$B$5:$B$9972,H$5,Journal!$C$5:$C$9972,$B24)</f>
        <v>0</v>
      </c>
      <c r="I25" s="60"/>
      <c r="J25" s="58">
        <f>SUMIFS(Journal!$D$5:$D$9972,Journal!$B$5:$B$9972,J$5,Journal!$C$5:$C$9972,$B24)</f>
        <v>0</v>
      </c>
      <c r="K25" s="60"/>
      <c r="L25" s="58">
        <f>SUMIFS(Journal!$D$5:$D$9972,Journal!$B$5:$B$9972,L$5,Journal!$C$5:$C$9972,$B24)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0.95486111111111116</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SUMIFS(Journal!$D$5:$D$9972,Journal!$B$5:$B$9972,H$5,Journal!$C$5:$C$9972,$B28)</f>
        <v>0</v>
      </c>
      <c r="I29" s="60"/>
      <c r="J29" s="58">
        <f>SUMIFS(Journal!$D$5:$D$9972,Journal!$B$5:$B$9972,J$5,Journal!$C$5:$C$9972,$B28)</f>
        <v>0</v>
      </c>
      <c r="K29" s="60"/>
      <c r="L29" s="58">
        <f>SUMIFS(Journal!$D$5:$D$9972,Journal!$B$5:$B$9972,L$5,Journal!$C$5:$C$9972,$B28)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SUMIFS(Journal!$D$5:$D$9972,Journal!$B$5:$B$9972,F$5,Journal!$C$5:$C$9972,$B30)</f>
        <v>0</v>
      </c>
      <c r="G31" s="59"/>
      <c r="H31" s="58">
        <f>SUMIFS(Journal!$D$5:$D$9972,Journal!$B$5:$B$9972,H$5,Journal!$C$5:$C$9972,$B30)</f>
        <v>0</v>
      </c>
      <c r="I31" s="60"/>
      <c r="J31" s="58">
        <f>SUMIFS(Journal!$D$5:$D$9972,Journal!$B$5:$B$9972,J$5,Journal!$C$5:$C$9972,$B30)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v>5.2083333333333336E-2</v>
      </c>
      <c r="E33" s="59"/>
      <c r="F33" s="58">
        <v>0.11458333333333333</v>
      </c>
      <c r="G33" s="59"/>
      <c r="H33" s="58">
        <f>SUMIFS(Journal!$D$5:$D$9972,Journal!$B$5:$B$9972,H$5,Journal!$C$5:$C$9972,$B32)</f>
        <v>0</v>
      </c>
      <c r="I33" s="60"/>
      <c r="J33" s="58">
        <f>SUMIFS(Journal!$D$5:$D$9972,Journal!$B$5:$B$9972,J$5,Journal!$C$5:$C$9972,$B32)</f>
        <v>0</v>
      </c>
      <c r="K33" s="60"/>
      <c r="L33" s="58">
        <f>SUMIFS(Journal!$D$5:$D$9972,Journal!$B$5:$B$9972,L$5,Journal!$C$5:$C$9972,$B32)</f>
        <v>0</v>
      </c>
      <c r="M33" s="59"/>
      <c r="N33" s="61">
        <f t="shared" si="2"/>
        <v>0.16666666666666666</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SUMIFS(Journal!$D$5:$D$9972,Journal!$B$5:$B$9972,D$5,Journal!$C$5:$C$9972,$B34)</f>
        <v>0</v>
      </c>
      <c r="E35" s="59"/>
      <c r="F35" s="58">
        <v>0.21875</v>
      </c>
      <c r="G35" s="59"/>
      <c r="H35" s="58">
        <f>SUMIFS(Journal!$D$5:$D$9972,Journal!$B$5:$B$9972,H$5,Journal!$C$5:$C$9972,$B34)</f>
        <v>0</v>
      </c>
      <c r="I35" s="60"/>
      <c r="J35" s="58">
        <f>SUMIFS(Journal!$D$5:$D$9972,Journal!$B$5:$B$9972,J$5,Journal!$C$5:$C$9972,$B34)</f>
        <v>0</v>
      </c>
      <c r="K35" s="60"/>
      <c r="L35" s="58">
        <f>SUMIFS(Journal!$D$5:$D$9972,Journal!$B$5:$B$9972,L$5,Journal!$C$5:$C$9972,$B34)</f>
        <v>0</v>
      </c>
      <c r="M35" s="59"/>
      <c r="N35" s="61">
        <f t="shared" si="2"/>
        <v>0.21875</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SUMIFS(Journal!$D$5:$D$9972,Journal!$B$5:$B$9972,D$5,Journal!$C$5:$C$9972,$B36)</f>
        <v>0</v>
      </c>
      <c r="E37" s="59"/>
      <c r="F37" s="58">
        <v>0.12847222222222224</v>
      </c>
      <c r="G37" s="59"/>
      <c r="H37" s="58">
        <f>SUMIFS(Journal!$D$5:$D$9972,Journal!$B$5:$B$9972,H$5,Journal!$C$5:$C$9972,$B36)</f>
        <v>0</v>
      </c>
      <c r="I37" s="60"/>
      <c r="J37" s="58">
        <f>SUMIFS(Journal!$D$5:$D$9972,Journal!$B$5:$B$9972,J$5,Journal!$C$5:$C$9972,$B36)</f>
        <v>0</v>
      </c>
      <c r="K37" s="60"/>
      <c r="L37" s="58">
        <f>SUMIFS(Journal!$D$5:$D$9972,Journal!$B$5:$B$9972,L$5,Journal!$C$5:$C$9972,$B36)</f>
        <v>0</v>
      </c>
      <c r="M37" s="59"/>
      <c r="N37" s="61">
        <f t="shared" si="2"/>
        <v>0.12847222222222224</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SUMIFS(Journal!$D$5:$D$9972,Journal!$B$5:$B$9972,D$5,Journal!$C$5:$C$9972,$B38)</f>
        <v>0</v>
      </c>
      <c r="E39" s="59"/>
      <c r="F39" s="58">
        <v>0.21180555555555555</v>
      </c>
      <c r="G39" s="59"/>
      <c r="H39" s="58">
        <v>0.18402777777777779</v>
      </c>
      <c r="I39" s="60"/>
      <c r="J39" s="58">
        <f>SUMIFS(Journal!$D$5:$D$9972,Journal!$B$5:$B$9972,J$5,Journal!$C$5:$C$9972,$B38)</f>
        <v>0</v>
      </c>
      <c r="K39" s="60"/>
      <c r="L39" s="58">
        <f>SUMIFS(Journal!$D$5:$D$9972,Journal!$B$5:$B$9972,L$5,Journal!$C$5:$C$9972,$B38)</f>
        <v>0</v>
      </c>
      <c r="M39" s="59"/>
      <c r="N39" s="61">
        <f t="shared" si="2"/>
        <v>0.39583333333333337</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0.67013888888888884</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SUMIFS(Journal!$D$5:$D$9972,Journal!$B$5:$B$9972,D$5,Journal!$C$5:$C$9972,$B42)</f>
        <v>0</v>
      </c>
      <c r="E43" s="59"/>
      <c r="F43" s="58">
        <v>6.25E-2</v>
      </c>
      <c r="G43" s="59"/>
      <c r="H43" s="58">
        <v>9.0277777777777776E-2</v>
      </c>
      <c r="I43" s="60"/>
      <c r="J43" s="58"/>
      <c r="K43" s="60"/>
      <c r="L43" s="58">
        <f>SUMIFS(Journal!$D$5:$D$9972,Journal!$B$5:$B$9972,L$5,Journal!$C$5:$C$9972,$B42)</f>
        <v>0</v>
      </c>
      <c r="M43" s="59"/>
      <c r="N43" s="61">
        <f t="shared" si="3"/>
        <v>0.15277777777777779</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SUMIFS(Journal!$D$5:$D$9972,Journal!$B$5:$B$9972,D$5,Journal!$C$5:$C$9972,$B44)</f>
        <v>0</v>
      </c>
      <c r="E45" s="59"/>
      <c r="F45" s="58">
        <f>SUMIFS(Journal!$D$5:$D$9972,Journal!$B$5:$B$9972,F$5,Journal!$C$5:$C$9972,$B44)</f>
        <v>0</v>
      </c>
      <c r="G45" s="59"/>
      <c r="H45" s="58">
        <v>6.5972222222222224E-2</v>
      </c>
      <c r="I45" s="60"/>
      <c r="J45" s="58">
        <f>SUMIFS(Journal!$D$5:$D$9972,Journal!$B$5:$B$9972,J$5,Journal!$C$5:$C$9972,$B44)</f>
        <v>0</v>
      </c>
      <c r="K45" s="60"/>
      <c r="L45" s="58">
        <f>SUMIFS(Journal!$D$5:$D$9972,Journal!$B$5:$B$9972,L$5,Journal!$C$5:$C$9972,$B44)</f>
        <v>0</v>
      </c>
      <c r="M45" s="59"/>
      <c r="N45" s="61">
        <f t="shared" si="3"/>
        <v>6.5972222222222224E-2</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SUMIFS(Journal!$D$5:$D$9972,Journal!$B$5:$B$9972,D$5,Journal!$C$5:$C$9972,$B46)</f>
        <v>0</v>
      </c>
      <c r="E47" s="59"/>
      <c r="F47" s="58">
        <v>0.16666666666666666</v>
      </c>
      <c r="G47" s="59"/>
      <c r="H47" s="58">
        <f>SUMIFS(Journal!$D$5:$D$9972,Journal!$B$5:$B$9972,H$5,Journal!$C$5:$C$9972,$B46)</f>
        <v>0</v>
      </c>
      <c r="I47" s="60"/>
      <c r="J47" s="58">
        <v>0.28472222222222221</v>
      </c>
      <c r="K47" s="60"/>
      <c r="L47" s="58">
        <f>SUMIFS(Journal!$D$5:$D$9972,Journal!$B$5:$B$9972,L$5,Journal!$C$5:$C$9972,$B46)</f>
        <v>0</v>
      </c>
      <c r="M47" s="59"/>
      <c r="N47" s="61">
        <f t="shared" si="3"/>
        <v>0.45138888888888884</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0.58333333333333337</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SUMIFS(Journal!$D$5:$D$9972,Journal!$B$5:$B$9972,D$5,Journal!$C$5:$C$9972,$B50)</f>
        <v>0</v>
      </c>
      <c r="E51" s="59"/>
      <c r="F51" s="58">
        <v>5.2083333333333336E-2</v>
      </c>
      <c r="G51" s="59"/>
      <c r="H51" s="58">
        <v>0.18402777777777779</v>
      </c>
      <c r="I51" s="60"/>
      <c r="J51" s="58">
        <v>0.34722222222222227</v>
      </c>
      <c r="K51" s="60"/>
      <c r="L51" s="58">
        <f>SUMIFS(Journal!$D$5:$D$9972,Journal!$B$5:$B$9972,L$5,Journal!$C$5:$C$9972,$B50)</f>
        <v>0</v>
      </c>
      <c r="M51" s="59"/>
      <c r="N51" s="61">
        <f>IF(SUM(D51:M51)=0,"",SUM(D51:M51))</f>
        <v>0.58333333333333337</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SUMIFS(Journal!$D$5:$D$9972,Journal!$B$5:$B$9972,D$5,Journal!$C$5:$C$9972,$B52)</f>
        <v>0</v>
      </c>
      <c r="E53" s="59"/>
      <c r="F53" s="58">
        <f>SUMIFS(Journal!$D$5:$D$9972,Journal!$B$5:$B$9972,F$5,Journal!$C$5:$C$9972,$B52)</f>
        <v>0</v>
      </c>
      <c r="G53" s="59"/>
      <c r="H53" s="58">
        <f>SUMIFS(Journal!$D$5:$D$9972,Journal!$B$5:$B$9972,H$5,Journal!$C$5:$C$9972,$B52)</f>
        <v>0</v>
      </c>
      <c r="I53" s="60"/>
      <c r="J53" s="58">
        <f>SUMIFS(Journal!$D$5:$D$9972,Journal!$B$5:$B$9972,J$5,Journal!$C$5:$C$9972,$B52)</f>
        <v>0</v>
      </c>
      <c r="K53" s="60"/>
      <c r="L53" s="58">
        <f>SUMIFS(Journal!$D$5:$D$9972,Journal!$B$5:$B$9972,L$5,Journal!$C$5:$C$9972,$B52)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IF(SUM(D54:M54)=0,"",SUM(D54:M54))</f>
        <v>0.27777777777777779</v>
      </c>
    </row>
    <row r="55" spans="1:14" ht="15" customHeight="1" thickBot="1" x14ac:dyDescent="0.3">
      <c r="B55" s="56"/>
      <c r="C55" s="57" t="str">
        <f>A$4</f>
        <v>temps réel</v>
      </c>
      <c r="D55" s="58">
        <f>SUMIFS(Journal!$D$5:$D$9972,Journal!$B$5:$B$9972,D$5,Journal!$C$5:$C$9972,$B54)</f>
        <v>0</v>
      </c>
      <c r="E55" s="59"/>
      <c r="F55" s="58">
        <f>SUMIFS(Journal!$D$5:$D$9972,Journal!$B$5:$B$9972,F$5,Journal!$C$5:$C$9972,$B54)</f>
        <v>0</v>
      </c>
      <c r="G55" s="59"/>
      <c r="H55" s="58">
        <f>SUMIFS(Journal!$D$5:$D$9972,Journal!$B$5:$B$9972,H$5,Journal!$C$5:$C$9972,$B54)</f>
        <v>0</v>
      </c>
      <c r="I55" s="60"/>
      <c r="J55" s="58">
        <f>SUMIFS(Journal!$D$5:$D$9972,Journal!$B$5:$B$9972,J$5,Journal!$C$5:$C$9972,$B54)</f>
        <v>0</v>
      </c>
      <c r="K55" s="60"/>
      <c r="L55" s="58">
        <f>SUMIFS(Journal!$D$5:$D$9972,Journal!$B$5:$B$9972,L$5,Journal!$C$5:$C$9972,$B54)</f>
        <v>0</v>
      </c>
      <c r="M55" s="59"/>
      <c r="N55" s="61" t="str">
        <f t="shared" si="4"/>
        <v/>
      </c>
    </row>
    <row r="56" spans="1:14" ht="30" x14ac:dyDescent="0.25">
      <c r="B56" s="9" t="s">
        <v>152</v>
      </c>
      <c r="C56" s="52" t="str">
        <f>A$3</f>
        <v>Prévu (périodes)</v>
      </c>
      <c r="D56" s="82"/>
      <c r="E56" s="53"/>
      <c r="F56" s="82"/>
      <c r="G56" s="53"/>
      <c r="H56" s="82"/>
      <c r="I56" s="54"/>
      <c r="J56" s="83"/>
      <c r="K56" s="54"/>
      <c r="L56" s="84"/>
      <c r="M56" s="53"/>
      <c r="N56" s="55" t="str">
        <f>IF(SUM(D56:M56)=0,"",SUM(D56:M56))</f>
        <v/>
      </c>
    </row>
    <row r="57" spans="1:14" x14ac:dyDescent="0.25">
      <c r="B57" s="56"/>
      <c r="C57" s="57" t="str">
        <f>A$4</f>
        <v>temps réel</v>
      </c>
      <c r="D57" s="58">
        <v>5.2083333333333336E-2</v>
      </c>
      <c r="E57" s="59"/>
      <c r="F57" s="58">
        <v>5.2083333333333336E-2</v>
      </c>
      <c r="G57" s="59"/>
      <c r="H57" s="58">
        <v>0.14583333333333334</v>
      </c>
      <c r="I57" s="60"/>
      <c r="J57" s="58">
        <v>0.3611111111111111</v>
      </c>
      <c r="K57" s="60"/>
      <c r="L57" s="58">
        <f>SUMIFS(Journal!$D$5:$D$9972,Journal!$B$5:$B$9972,L$5,Journal!$C$5:$C$9972,$B56)</f>
        <v>0</v>
      </c>
      <c r="M57" s="59"/>
      <c r="N57" s="61">
        <f t="shared" ref="N57" si="5">IF(SUM(D57:M57)=0,"",SUM(D57:M57))</f>
        <v>0.61111111111111116</v>
      </c>
    </row>
  </sheetData>
  <sheetProtection selectLockedCells="1"/>
  <conditionalFormatting sqref="B3">
    <cfRule type="colorScale" priority="1218">
      <colorScale>
        <cfvo type="num" val="1"/>
        <cfvo type="num" val="100000"/>
        <color theme="0" tint="-0.14999847407452621"/>
        <color theme="0" tint="-0.14999847407452621"/>
      </colorScale>
    </cfRule>
  </conditionalFormatting>
  <conditionalFormatting sqref="E4 G4 I4 K4 M4">
    <cfRule type="cellIs" dxfId="17" priority="1209" stopIfTrue="1" operator="greaterThan">
      <formula>0</formula>
    </cfRule>
  </conditionalFormatting>
  <conditionalFormatting sqref="D3">
    <cfRule type="colorScale" priority="1122">
      <colorScale>
        <cfvo type="num" val="1"/>
        <cfvo type="num" val="100000"/>
        <color theme="0" tint="-0.14999847407452621"/>
        <color theme="0" tint="-0.14999847407452621"/>
      </colorScale>
    </cfRule>
  </conditionalFormatting>
  <conditionalFormatting sqref="D4">
    <cfRule type="cellIs" dxfId="16" priority="1120" stopIfTrue="1" operator="greaterThan">
      <formula>0</formula>
    </cfRule>
  </conditionalFormatting>
  <conditionalFormatting sqref="D8:M8 D14:M14 D10:M10 D12:M12 D16:M16 D20:M20 D24:M24 D22:M22 D28:M28 D34:M34 D30:M30 D32:M32 D36:M36 D42:M42 D44:M44 D46:M46 D50:M50 D52:M52 D54:M54 D38:M38">
    <cfRule type="cellIs" dxfId="15" priority="612" operator="greaterThan">
      <formula>0</formula>
    </cfRule>
  </conditionalFormatting>
  <conditionalFormatting sqref="D9:M9 D11:M11 D13:M13 D15:M15 D17:M17 D21:M21 D23:M23 D25:M25 D29:M29 D31:M31 D33:M33 D35:M35 D37:M37 D43:M43 D45:M45 D47:M47 D51:M51 D53:M53 D55:M55 D39:M39">
    <cfRule type="cellIs" dxfId="14" priority="600" operator="greaterThan">
      <formula>0</formula>
    </cfRule>
  </conditionalFormatting>
  <conditionalFormatting sqref="F3">
    <cfRule type="colorScale" priority="391">
      <colorScale>
        <cfvo type="num" val="1"/>
        <cfvo type="num" val="100000"/>
        <color theme="0" tint="-0.14999847407452621"/>
        <color theme="0" tint="-0.14999847407452621"/>
      </colorScale>
    </cfRule>
  </conditionalFormatting>
  <conditionalFormatting sqref="F4">
    <cfRule type="cellIs" dxfId="13" priority="390" stopIfTrue="1" operator="greaterThan">
      <formula>0</formula>
    </cfRule>
  </conditionalFormatting>
  <conditionalFormatting sqref="H3">
    <cfRule type="colorScale" priority="388">
      <colorScale>
        <cfvo type="num" val="1"/>
        <cfvo type="num" val="100000"/>
        <color theme="0" tint="-0.14999847407452621"/>
        <color theme="0" tint="-0.14999847407452621"/>
      </colorScale>
    </cfRule>
  </conditionalFormatting>
  <conditionalFormatting sqref="H4">
    <cfRule type="cellIs" dxfId="12" priority="387" stopIfTrue="1" operator="greaterThan">
      <formula>0</formula>
    </cfRule>
  </conditionalFormatting>
  <conditionalFormatting sqref="J3">
    <cfRule type="colorScale" priority="385">
      <colorScale>
        <cfvo type="num" val="1"/>
        <cfvo type="num" val="100000"/>
        <color theme="0" tint="-0.14999847407452621"/>
        <color theme="0" tint="-0.14999847407452621"/>
      </colorScale>
    </cfRule>
  </conditionalFormatting>
  <conditionalFormatting sqref="J4">
    <cfRule type="cellIs" dxfId="11" priority="384" stopIfTrue="1" operator="greaterThan">
      <formula>0</formula>
    </cfRule>
  </conditionalFormatting>
  <conditionalFormatting sqref="L3">
    <cfRule type="colorScale" priority="382">
      <colorScale>
        <cfvo type="num" val="1"/>
        <cfvo type="num" val="100000"/>
        <color theme="0" tint="-0.14999847407452621"/>
        <color theme="0" tint="-0.14999847407452621"/>
      </colorScale>
    </cfRule>
  </conditionalFormatting>
  <conditionalFormatting sqref="L4">
    <cfRule type="cellIs" dxfId="10" priority="381" stopIfTrue="1" operator="greaterThan">
      <formula>0</formula>
    </cfRule>
  </conditionalFormatting>
  <conditionalFormatting sqref="N8 N10 N12 N14">
    <cfRule type="cellIs" dxfId="9" priority="184" operator="greaterThan">
      <formula>0</formula>
    </cfRule>
  </conditionalFormatting>
  <conditionalFormatting sqref="N9 N11 N13 N15">
    <cfRule type="cellIs" dxfId="8" priority="183" operator="greaterThan">
      <formula>0</formula>
    </cfRule>
  </conditionalFormatting>
  <conditionalFormatting sqref="N54 N52 N50 N46 N44 N42 N36 N34 N32 N30 N28 N24 N22 N20 N16">
    <cfRule type="cellIs" dxfId="7" priority="132" operator="greaterThan">
      <formula>0</formula>
    </cfRule>
  </conditionalFormatting>
  <conditionalFormatting sqref="N55 N53 N51 N47 N45 N43 N37 N35 N33 N31 N29 N25 N23 N21 N17">
    <cfRule type="cellIs" dxfId="6" priority="131" operator="greaterThan">
      <formula>0</formula>
    </cfRule>
  </conditionalFormatting>
  <conditionalFormatting sqref="N38">
    <cfRule type="cellIs" dxfId="5" priority="30" operator="greaterThan">
      <formula>0</formula>
    </cfRule>
  </conditionalFormatting>
  <conditionalFormatting sqref="N39">
    <cfRule type="cellIs" dxfId="4" priority="29" operator="greaterThan">
      <formula>0</formula>
    </cfRule>
  </conditionalFormatting>
  <conditionalFormatting sqref="D56:M56">
    <cfRule type="cellIs" dxfId="3" priority="4" operator="greaterThan">
      <formula>0</formula>
    </cfRule>
  </conditionalFormatting>
  <conditionalFormatting sqref="D57:M57">
    <cfRule type="cellIs" dxfId="2" priority="3" operator="greaterThan">
      <formula>0</formula>
    </cfRule>
  </conditionalFormatting>
  <conditionalFormatting sqref="N56">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32"/>
  <sheetViews>
    <sheetView tabSelected="1" zoomScale="85" zoomScaleNormal="85" workbookViewId="0">
      <pane ySplit="4" topLeftCell="A5" activePane="bottomLeft" state="frozen"/>
      <selection pane="bottomLeft" sqref="A1:E79"/>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
        <v>151</v>
      </c>
      <c r="D1" s="93"/>
      <c r="E1" s="94">
        <f ca="1">TODAY()</f>
        <v>45071</v>
      </c>
    </row>
    <row r="2" spans="1:5" ht="14.25" customHeight="1" x14ac:dyDescent="0.25">
      <c r="A2" s="92" t="s">
        <v>13</v>
      </c>
      <c r="B2" s="93"/>
      <c r="C2" s="93"/>
      <c r="D2" s="93"/>
      <c r="E2" s="95"/>
    </row>
    <row r="3" spans="1:5" ht="19.5" customHeight="1" x14ac:dyDescent="0.25">
      <c r="A3" s="114"/>
      <c r="B3" s="93"/>
      <c r="C3" s="93" t="s">
        <v>169</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t="s">
        <v>37</v>
      </c>
      <c r="D43" s="90" t="s">
        <v>135</v>
      </c>
      <c r="E43" s="88" t="s">
        <v>134</v>
      </c>
    </row>
    <row r="44" spans="1:5" ht="60" x14ac:dyDescent="0.25">
      <c r="A44" s="86"/>
      <c r="B44" s="98"/>
      <c r="C44" s="7" t="s">
        <v>37</v>
      </c>
      <c r="D44" s="90" t="s">
        <v>136</v>
      </c>
      <c r="E44" s="88" t="s">
        <v>137</v>
      </c>
    </row>
    <row r="45" spans="1:5" ht="30" x14ac:dyDescent="0.25">
      <c r="A45" s="86">
        <v>45057</v>
      </c>
      <c r="B45" s="98">
        <v>2</v>
      </c>
      <c r="C45" s="7" t="s">
        <v>56</v>
      </c>
      <c r="D45" s="90" t="s">
        <v>126</v>
      </c>
      <c r="E45" s="88" t="s">
        <v>138</v>
      </c>
    </row>
    <row r="46" spans="1:5" ht="75" x14ac:dyDescent="0.25">
      <c r="A46" s="86"/>
      <c r="B46" s="98"/>
      <c r="C46" s="7" t="s">
        <v>51</v>
      </c>
      <c r="D46" s="90" t="s">
        <v>139</v>
      </c>
      <c r="E46" s="88" t="s">
        <v>140</v>
      </c>
    </row>
    <row r="47" spans="1:5" x14ac:dyDescent="0.25">
      <c r="A47" s="86"/>
      <c r="B47" s="98"/>
      <c r="C47" s="7"/>
      <c r="D47" s="90" t="s">
        <v>80</v>
      </c>
      <c r="E47" s="88" t="s">
        <v>141</v>
      </c>
    </row>
    <row r="48" spans="1:5" ht="45" x14ac:dyDescent="0.25">
      <c r="A48" s="86"/>
      <c r="B48" s="98"/>
      <c r="C48" s="7" t="s">
        <v>51</v>
      </c>
      <c r="D48" s="90" t="s">
        <v>142</v>
      </c>
      <c r="E48" s="88" t="s">
        <v>143</v>
      </c>
    </row>
    <row r="49" spans="1:5" ht="75" x14ac:dyDescent="0.25">
      <c r="A49" s="86"/>
      <c r="B49" s="98"/>
      <c r="C49" s="7" t="s">
        <v>51</v>
      </c>
      <c r="D49" s="90" t="s">
        <v>123</v>
      </c>
      <c r="E49" s="88" t="s">
        <v>144</v>
      </c>
    </row>
    <row r="50" spans="1:5" x14ac:dyDescent="0.25">
      <c r="A50" s="86"/>
      <c r="B50" s="98"/>
      <c r="C50" s="7"/>
      <c r="D50" s="90" t="s">
        <v>124</v>
      </c>
      <c r="E50" s="88" t="s">
        <v>108</v>
      </c>
    </row>
    <row r="51" spans="1:5" ht="120" x14ac:dyDescent="0.25">
      <c r="A51" s="86">
        <v>45061</v>
      </c>
      <c r="B51" s="98">
        <v>3</v>
      </c>
      <c r="C51" s="7" t="s">
        <v>51</v>
      </c>
      <c r="D51" s="90" t="s">
        <v>139</v>
      </c>
      <c r="E51" s="88" t="s">
        <v>145</v>
      </c>
    </row>
    <row r="52" spans="1:5" x14ac:dyDescent="0.25">
      <c r="A52" s="86"/>
      <c r="B52" s="98"/>
      <c r="C52" s="7"/>
      <c r="D52" s="90" t="s">
        <v>80</v>
      </c>
      <c r="E52" s="88" t="s">
        <v>146</v>
      </c>
    </row>
    <row r="53" spans="1:5" ht="110.25" customHeight="1" x14ac:dyDescent="0.25">
      <c r="A53" s="86"/>
      <c r="B53" s="98"/>
      <c r="C53" s="7" t="s">
        <v>51</v>
      </c>
      <c r="D53" s="90" t="s">
        <v>147</v>
      </c>
      <c r="E53" s="88" t="s">
        <v>148</v>
      </c>
    </row>
    <row r="54" spans="1:5" ht="18.75" customHeight="1" x14ac:dyDescent="0.25">
      <c r="A54" s="86"/>
      <c r="B54" s="98"/>
      <c r="C54" s="7"/>
      <c r="D54" s="90" t="s">
        <v>149</v>
      </c>
      <c r="E54" s="88" t="s">
        <v>150</v>
      </c>
    </row>
    <row r="55" spans="1:5" x14ac:dyDescent="0.25">
      <c r="A55" s="86">
        <v>45062</v>
      </c>
      <c r="B55" s="98">
        <v>3</v>
      </c>
      <c r="C55" s="7" t="s">
        <v>38</v>
      </c>
      <c r="D55" s="90" t="s">
        <v>83</v>
      </c>
      <c r="E55" s="88" t="s">
        <v>153</v>
      </c>
    </row>
    <row r="56" spans="1:5" x14ac:dyDescent="0.25">
      <c r="A56" s="86"/>
      <c r="B56" s="98"/>
      <c r="C56" s="7" t="s">
        <v>155</v>
      </c>
      <c r="D56" s="90" t="s">
        <v>154</v>
      </c>
      <c r="E56" s="88"/>
    </row>
    <row r="57" spans="1:5" x14ac:dyDescent="0.25">
      <c r="A57" s="86"/>
      <c r="B57" s="98"/>
      <c r="C57" s="7" t="s">
        <v>52</v>
      </c>
      <c r="D57" s="90" t="s">
        <v>156</v>
      </c>
      <c r="E57" s="88" t="s">
        <v>157</v>
      </c>
    </row>
    <row r="58" spans="1:5" ht="30" x14ac:dyDescent="0.25">
      <c r="A58" s="86"/>
      <c r="B58" s="98"/>
      <c r="C58" s="7" t="s">
        <v>52</v>
      </c>
      <c r="D58" s="90" t="s">
        <v>160</v>
      </c>
      <c r="E58" s="88" t="s">
        <v>158</v>
      </c>
    </row>
    <row r="59" spans="1:5" ht="30" x14ac:dyDescent="0.25">
      <c r="A59" s="86"/>
      <c r="B59" s="98"/>
      <c r="C59" s="7" t="s">
        <v>38</v>
      </c>
      <c r="D59" s="90" t="s">
        <v>159</v>
      </c>
      <c r="E59" s="88" t="s">
        <v>161</v>
      </c>
    </row>
    <row r="60" spans="1:5" ht="90" x14ac:dyDescent="0.25">
      <c r="A60" s="86"/>
      <c r="B60" s="98"/>
      <c r="C60" s="7" t="s">
        <v>162</v>
      </c>
      <c r="D60" s="90" t="s">
        <v>163</v>
      </c>
      <c r="E60" s="88" t="s">
        <v>164</v>
      </c>
    </row>
    <row r="61" spans="1:5" ht="30" x14ac:dyDescent="0.25">
      <c r="A61" s="86"/>
      <c r="B61" s="98"/>
      <c r="C61" s="7" t="s">
        <v>38</v>
      </c>
      <c r="D61" s="90" t="s">
        <v>165</v>
      </c>
      <c r="E61" s="88" t="s">
        <v>166</v>
      </c>
    </row>
    <row r="62" spans="1:5" x14ac:dyDescent="0.25">
      <c r="A62" s="86"/>
      <c r="B62" s="98"/>
      <c r="C62" s="7"/>
      <c r="D62" s="90" t="s">
        <v>149</v>
      </c>
      <c r="E62" s="88" t="s">
        <v>108</v>
      </c>
    </row>
    <row r="63" spans="1:5" ht="30" x14ac:dyDescent="0.25">
      <c r="A63" s="86">
        <v>45063</v>
      </c>
      <c r="B63" s="98">
        <v>3</v>
      </c>
      <c r="C63" s="7" t="s">
        <v>62</v>
      </c>
      <c r="D63" s="90" t="s">
        <v>126</v>
      </c>
      <c r="E63" s="88" t="s">
        <v>167</v>
      </c>
    </row>
    <row r="64" spans="1:5" ht="30" x14ac:dyDescent="0.25">
      <c r="A64" s="86"/>
      <c r="B64" s="98"/>
      <c r="C64" s="7" t="s">
        <v>38</v>
      </c>
      <c r="D64" s="90" t="s">
        <v>139</v>
      </c>
      <c r="E64" s="88" t="s">
        <v>168</v>
      </c>
    </row>
    <row r="65" spans="1:5" x14ac:dyDescent="0.25">
      <c r="A65" s="86"/>
      <c r="B65" s="98"/>
      <c r="C65" s="7"/>
      <c r="D65" s="90" t="s">
        <v>80</v>
      </c>
      <c r="E65" s="88" t="s">
        <v>108</v>
      </c>
    </row>
    <row r="66" spans="1:5" x14ac:dyDescent="0.25">
      <c r="A66" s="86">
        <v>45068</v>
      </c>
      <c r="B66" s="98">
        <v>4</v>
      </c>
      <c r="C66" s="7" t="s">
        <v>169</v>
      </c>
      <c r="D66" s="90" t="s">
        <v>170</v>
      </c>
      <c r="E66" s="88" t="s">
        <v>171</v>
      </c>
    </row>
    <row r="67" spans="1:5" ht="30" x14ac:dyDescent="0.25">
      <c r="A67" s="86"/>
      <c r="B67" s="98"/>
      <c r="C67" s="7" t="s">
        <v>37</v>
      </c>
      <c r="D67" s="90" t="s">
        <v>142</v>
      </c>
      <c r="E67" s="88" t="s">
        <v>172</v>
      </c>
    </row>
    <row r="68" spans="1:5" ht="30" x14ac:dyDescent="0.25">
      <c r="A68" s="86"/>
      <c r="B68" s="98"/>
      <c r="C68" s="7" t="s">
        <v>38</v>
      </c>
      <c r="D68" s="90" t="s">
        <v>123</v>
      </c>
      <c r="E68" s="88" t="s">
        <v>173</v>
      </c>
    </row>
    <row r="69" spans="1:5" x14ac:dyDescent="0.25">
      <c r="A69" s="86"/>
      <c r="B69" s="98"/>
      <c r="C69" s="7"/>
      <c r="D69" s="90" t="s">
        <v>124</v>
      </c>
      <c r="E69" s="88" t="s">
        <v>141</v>
      </c>
    </row>
    <row r="70" spans="1:5" ht="60" x14ac:dyDescent="0.25">
      <c r="A70" s="86">
        <v>45069</v>
      </c>
      <c r="B70" s="98">
        <v>4</v>
      </c>
      <c r="C70" s="7" t="s">
        <v>37</v>
      </c>
      <c r="D70" s="90" t="s">
        <v>126</v>
      </c>
      <c r="E70" s="88" t="s">
        <v>174</v>
      </c>
    </row>
    <row r="71" spans="1:5" ht="45" x14ac:dyDescent="0.25">
      <c r="A71" s="86"/>
      <c r="B71" s="98"/>
      <c r="C71" s="7" t="s">
        <v>162</v>
      </c>
      <c r="D71" s="90" t="s">
        <v>170</v>
      </c>
      <c r="E71" s="88" t="s">
        <v>175</v>
      </c>
    </row>
    <row r="72" spans="1:5" x14ac:dyDescent="0.25">
      <c r="A72" s="86"/>
      <c r="B72" s="98"/>
      <c r="C72" s="7" t="s">
        <v>38</v>
      </c>
      <c r="D72" s="90" t="s">
        <v>176</v>
      </c>
      <c r="E72" s="88" t="s">
        <v>177</v>
      </c>
    </row>
    <row r="73" spans="1:5" x14ac:dyDescent="0.25">
      <c r="A73" s="86"/>
      <c r="B73" s="98"/>
      <c r="C73" s="7"/>
      <c r="D73" s="90" t="s">
        <v>178</v>
      </c>
      <c r="E73" s="88" t="s">
        <v>179</v>
      </c>
    </row>
    <row r="74" spans="1:5" ht="45" x14ac:dyDescent="0.25">
      <c r="A74" s="86">
        <v>45070</v>
      </c>
      <c r="B74" s="98">
        <v>4</v>
      </c>
      <c r="C74" s="7" t="s">
        <v>37</v>
      </c>
      <c r="D74" s="90" t="s">
        <v>180</v>
      </c>
      <c r="E74" s="88" t="s">
        <v>182</v>
      </c>
    </row>
    <row r="75" spans="1:5" x14ac:dyDescent="0.25">
      <c r="A75" s="86"/>
      <c r="B75" s="98"/>
      <c r="C75" s="7"/>
      <c r="D75" s="90" t="s">
        <v>80</v>
      </c>
      <c r="E75" s="88" t="s">
        <v>179</v>
      </c>
    </row>
    <row r="76" spans="1:5" x14ac:dyDescent="0.25">
      <c r="A76" s="86">
        <v>45071</v>
      </c>
      <c r="B76" s="98">
        <v>4</v>
      </c>
      <c r="C76" s="7" t="s">
        <v>38</v>
      </c>
      <c r="D76" s="90" t="s">
        <v>180</v>
      </c>
      <c r="E76" s="88" t="s">
        <v>181</v>
      </c>
    </row>
    <row r="77" spans="1:5" x14ac:dyDescent="0.25">
      <c r="A77" s="86"/>
      <c r="B77" s="98"/>
      <c r="C77" s="7"/>
      <c r="D77" s="90" t="s">
        <v>80</v>
      </c>
      <c r="E77" s="88" t="s">
        <v>141</v>
      </c>
    </row>
    <row r="78" spans="1:5" ht="30" x14ac:dyDescent="0.25">
      <c r="A78" s="86"/>
      <c r="B78" s="98"/>
      <c r="C78" s="7" t="s">
        <v>38</v>
      </c>
      <c r="D78" s="90" t="s">
        <v>176</v>
      </c>
      <c r="E78" s="88" t="s">
        <v>183</v>
      </c>
    </row>
    <row r="79" spans="1:5" x14ac:dyDescent="0.25">
      <c r="A79" s="86"/>
      <c r="B79" s="98"/>
      <c r="C79" s="7"/>
      <c r="D79" s="90" t="s">
        <v>178</v>
      </c>
      <c r="E79" s="88" t="s">
        <v>179</v>
      </c>
    </row>
    <row r="80" spans="1:5" x14ac:dyDescent="0.25">
      <c r="A80" s="86">
        <v>45076</v>
      </c>
      <c r="B80" s="98">
        <v>5</v>
      </c>
      <c r="C80" s="7"/>
      <c r="D80" s="90"/>
      <c r="E80" s="88"/>
    </row>
    <row r="81" spans="1:7" x14ac:dyDescent="0.25">
      <c r="A81" s="105"/>
      <c r="B81" s="106"/>
      <c r="C81" s="107"/>
      <c r="D81" s="108"/>
      <c r="E81" s="109"/>
      <c r="F81" s="110"/>
      <c r="G81" s="110"/>
    </row>
    <row r="82" spans="1:7" x14ac:dyDescent="0.25">
      <c r="A82" s="105"/>
      <c r="B82" s="106"/>
      <c r="C82" s="107"/>
      <c r="D82" s="108"/>
      <c r="E82" s="109"/>
      <c r="F82" s="110"/>
      <c r="G82" s="110"/>
    </row>
    <row r="83" spans="1:7" x14ac:dyDescent="0.25">
      <c r="A83" s="105"/>
      <c r="B83" s="106"/>
      <c r="C83" s="107"/>
      <c r="D83" s="108"/>
      <c r="E83" s="109"/>
      <c r="F83" s="110"/>
      <c r="G83" s="110"/>
    </row>
    <row r="84" spans="1:7" x14ac:dyDescent="0.25">
      <c r="A84" s="105"/>
      <c r="B84" s="106"/>
      <c r="C84" s="107"/>
      <c r="D84" s="108"/>
      <c r="E84" s="109"/>
      <c r="F84" s="110"/>
      <c r="G84" s="110"/>
    </row>
    <row r="85" spans="1:7" x14ac:dyDescent="0.25">
      <c r="A85" s="105"/>
      <c r="B85" s="106"/>
      <c r="C85" s="107"/>
      <c r="D85" s="108"/>
      <c r="E85" s="109"/>
      <c r="F85" s="110"/>
      <c r="G85" s="110"/>
    </row>
    <row r="86" spans="1:7" x14ac:dyDescent="0.25">
      <c r="A86" s="105"/>
      <c r="B86" s="106"/>
      <c r="C86" s="107"/>
      <c r="D86" s="108"/>
      <c r="E86" s="109"/>
      <c r="F86" s="110"/>
      <c r="G86" s="110"/>
    </row>
    <row r="87" spans="1:7" x14ac:dyDescent="0.25">
      <c r="A87" s="105"/>
      <c r="B87" s="106"/>
      <c r="C87" s="107"/>
      <c r="D87" s="108"/>
      <c r="E87" s="109"/>
      <c r="F87" s="110"/>
      <c r="G87" s="110"/>
    </row>
    <row r="88" spans="1:7" x14ac:dyDescent="0.25">
      <c r="A88" s="105"/>
      <c r="B88" s="106"/>
      <c r="C88" s="107"/>
      <c r="D88" s="108"/>
      <c r="E88" s="109"/>
      <c r="F88" s="110"/>
      <c r="G88" s="110"/>
    </row>
    <row r="89" spans="1:7" x14ac:dyDescent="0.25">
      <c r="A89" s="105"/>
      <c r="B89" s="106"/>
      <c r="C89" s="107"/>
      <c r="D89" s="108"/>
      <c r="E89" s="109"/>
      <c r="F89" s="110"/>
      <c r="G89" s="110"/>
    </row>
    <row r="90" spans="1:7" x14ac:dyDescent="0.25">
      <c r="A90" s="105"/>
      <c r="B90" s="106"/>
      <c r="C90" s="107"/>
      <c r="D90" s="108"/>
      <c r="E90" s="109"/>
      <c r="F90" s="110"/>
      <c r="G90" s="110"/>
    </row>
    <row r="91" spans="1:7" x14ac:dyDescent="0.25">
      <c r="A91" s="105"/>
      <c r="B91" s="106"/>
      <c r="C91" s="107"/>
      <c r="D91" s="108"/>
      <c r="E91" s="109"/>
      <c r="F91" s="110"/>
      <c r="G91" s="110"/>
    </row>
    <row r="92" spans="1:7" x14ac:dyDescent="0.25">
      <c r="A92" s="105"/>
      <c r="B92" s="106"/>
      <c r="C92" s="107"/>
      <c r="D92" s="108"/>
      <c r="E92" s="109"/>
      <c r="F92" s="110"/>
      <c r="G92" s="110"/>
    </row>
    <row r="93" spans="1:7" x14ac:dyDescent="0.25">
      <c r="A93" s="105"/>
      <c r="B93" s="106"/>
      <c r="C93" s="107"/>
      <c r="D93" s="108"/>
      <c r="E93" s="109"/>
      <c r="F93" s="110"/>
      <c r="G93" s="110"/>
    </row>
    <row r="94" spans="1:7" x14ac:dyDescent="0.25">
      <c r="A94" s="105"/>
      <c r="B94" s="106"/>
      <c r="C94" s="107"/>
      <c r="D94" s="108"/>
      <c r="E94" s="109"/>
      <c r="F94" s="110"/>
      <c r="G94" s="110"/>
    </row>
    <row r="95" spans="1:7" x14ac:dyDescent="0.25">
      <c r="A95" s="105"/>
      <c r="B95" s="106"/>
      <c r="C95" s="107"/>
      <c r="D95" s="108"/>
      <c r="E95" s="109"/>
      <c r="F95" s="110"/>
      <c r="G95" s="110"/>
    </row>
    <row r="96" spans="1:7" x14ac:dyDescent="0.25">
      <c r="A96" s="105"/>
      <c r="B96" s="106"/>
      <c r="C96" s="107"/>
      <c r="D96" s="108"/>
      <c r="E96" s="109"/>
      <c r="F96" s="110"/>
      <c r="G96" s="110"/>
    </row>
    <row r="97" spans="1:7" x14ac:dyDescent="0.25">
      <c r="A97" s="105"/>
      <c r="B97" s="106"/>
      <c r="C97" s="107"/>
      <c r="D97" s="108"/>
      <c r="E97" s="109"/>
      <c r="F97" s="110"/>
      <c r="G97" s="110"/>
    </row>
    <row r="98" spans="1:7" x14ac:dyDescent="0.25">
      <c r="A98" s="105"/>
      <c r="B98" s="106"/>
      <c r="C98" s="107"/>
      <c r="D98" s="108"/>
      <c r="E98" s="109"/>
      <c r="F98" s="110"/>
      <c r="G98" s="110"/>
    </row>
    <row r="99" spans="1:7" x14ac:dyDescent="0.25">
      <c r="A99" s="105"/>
      <c r="B99" s="106"/>
      <c r="C99" s="107"/>
      <c r="D99" s="108"/>
      <c r="E99" s="109"/>
      <c r="F99" s="110"/>
      <c r="G99" s="110"/>
    </row>
    <row r="100" spans="1:7" x14ac:dyDescent="0.25">
      <c r="A100" s="105"/>
      <c r="B100" s="106"/>
      <c r="C100" s="107"/>
      <c r="D100" s="108"/>
      <c r="E100" s="109"/>
      <c r="F100" s="110"/>
      <c r="G100" s="110"/>
    </row>
    <row r="101" spans="1:7" x14ac:dyDescent="0.25">
      <c r="A101" s="105"/>
      <c r="B101" s="106"/>
      <c r="C101" s="107"/>
      <c r="D101" s="108"/>
      <c r="E101" s="109"/>
      <c r="F101" s="110"/>
      <c r="G101" s="110"/>
    </row>
    <row r="102" spans="1:7" x14ac:dyDescent="0.25">
      <c r="A102" s="105"/>
      <c r="B102" s="106"/>
      <c r="C102" s="107"/>
      <c r="D102" s="108"/>
      <c r="E102" s="109"/>
      <c r="F102" s="110"/>
      <c r="G102" s="110"/>
    </row>
    <row r="103" spans="1:7" x14ac:dyDescent="0.25">
      <c r="A103" s="105"/>
      <c r="B103" s="106"/>
      <c r="C103" s="107"/>
      <c r="D103" s="108"/>
      <c r="E103" s="109"/>
      <c r="F103" s="110"/>
      <c r="G103" s="110"/>
    </row>
    <row r="104" spans="1:7" x14ac:dyDescent="0.25">
      <c r="A104" s="105"/>
      <c r="B104" s="106"/>
      <c r="C104" s="107"/>
      <c r="D104" s="108"/>
      <c r="E104" s="109"/>
      <c r="F104" s="110"/>
      <c r="G104" s="110"/>
    </row>
    <row r="105" spans="1:7" x14ac:dyDescent="0.25">
      <c r="A105" s="105"/>
      <c r="B105" s="106"/>
      <c r="C105" s="107"/>
      <c r="D105" s="108"/>
      <c r="E105" s="109"/>
      <c r="F105" s="110"/>
      <c r="G105" s="110"/>
    </row>
    <row r="106" spans="1:7" x14ac:dyDescent="0.25">
      <c r="A106" s="105"/>
      <c r="B106" s="106">
        <f t="shared" ref="B106:B169" si="0">WEEKNUM(A106,1)</f>
        <v>0</v>
      </c>
      <c r="C106" s="107"/>
      <c r="D106" s="108"/>
      <c r="E106" s="109"/>
      <c r="F106" s="110"/>
      <c r="G106" s="110"/>
    </row>
    <row r="107" spans="1:7" x14ac:dyDescent="0.25">
      <c r="A107" s="100"/>
      <c r="B107" s="101">
        <f t="shared" si="0"/>
        <v>0</v>
      </c>
      <c r="C107" s="102"/>
      <c r="D107" s="103"/>
      <c r="E107" s="104"/>
    </row>
    <row r="108" spans="1:7" x14ac:dyDescent="0.25">
      <c r="A108" s="87"/>
      <c r="B108" s="99">
        <f t="shared" si="0"/>
        <v>0</v>
      </c>
      <c r="C108" s="8"/>
      <c r="D108" s="91"/>
      <c r="E108" s="89"/>
    </row>
    <row r="109" spans="1:7" x14ac:dyDescent="0.25">
      <c r="A109" s="87"/>
      <c r="B109" s="99">
        <f t="shared" si="0"/>
        <v>0</v>
      </c>
      <c r="C109" s="8"/>
      <c r="D109" s="91"/>
      <c r="E109" s="89"/>
    </row>
    <row r="110" spans="1:7" x14ac:dyDescent="0.25">
      <c r="A110" s="87"/>
      <c r="B110" s="99">
        <f t="shared" si="0"/>
        <v>0</v>
      </c>
      <c r="C110" s="8"/>
      <c r="D110" s="91"/>
      <c r="E110" s="89"/>
    </row>
    <row r="111" spans="1:7" x14ac:dyDescent="0.25">
      <c r="A111" s="87"/>
      <c r="B111" s="99">
        <f t="shared" si="0"/>
        <v>0</v>
      </c>
      <c r="C111" s="8"/>
      <c r="D111" s="91"/>
      <c r="E111" s="89"/>
    </row>
    <row r="112" spans="1:7"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si="0"/>
        <v>0</v>
      </c>
      <c r="C143" s="8"/>
      <c r="D143" s="91"/>
      <c r="E143" s="89"/>
    </row>
    <row r="144" spans="1:5" x14ac:dyDescent="0.25">
      <c r="A144" s="87"/>
      <c r="B144" s="99">
        <f t="shared" si="0"/>
        <v>0</v>
      </c>
      <c r="C144" s="8"/>
      <c r="D144" s="91"/>
      <c r="E144" s="89"/>
    </row>
    <row r="145" spans="1:5" x14ac:dyDescent="0.25">
      <c r="A145" s="87"/>
      <c r="B145" s="99">
        <f t="shared" si="0"/>
        <v>0</v>
      </c>
      <c r="C145" s="8"/>
      <c r="D145" s="91"/>
      <c r="E145" s="89"/>
    </row>
    <row r="146" spans="1:5" x14ac:dyDescent="0.25">
      <c r="A146" s="87"/>
      <c r="B146" s="99">
        <f t="shared" si="0"/>
        <v>0</v>
      </c>
      <c r="C146" s="8"/>
      <c r="D146" s="91"/>
      <c r="E146" s="89"/>
    </row>
    <row r="147" spans="1:5" x14ac:dyDescent="0.25">
      <c r="A147" s="87"/>
      <c r="B147" s="99">
        <f t="shared" si="0"/>
        <v>0</v>
      </c>
      <c r="C147" s="8"/>
      <c r="D147" s="91"/>
      <c r="E147" s="89"/>
    </row>
    <row r="148" spans="1:5" x14ac:dyDescent="0.25">
      <c r="A148" s="87"/>
      <c r="B148" s="99">
        <f t="shared" si="0"/>
        <v>0</v>
      </c>
      <c r="C148" s="8"/>
      <c r="D148" s="91"/>
      <c r="E148" s="89"/>
    </row>
    <row r="149" spans="1:5" x14ac:dyDescent="0.25">
      <c r="A149" s="87"/>
      <c r="B149" s="99">
        <f t="shared" si="0"/>
        <v>0</v>
      </c>
      <c r="C149" s="8"/>
      <c r="D149" s="91"/>
      <c r="E149" s="89"/>
    </row>
    <row r="150" spans="1:5" x14ac:dyDescent="0.25">
      <c r="A150" s="87"/>
      <c r="B150" s="99">
        <f t="shared" si="0"/>
        <v>0</v>
      </c>
      <c r="C150" s="8"/>
      <c r="D150" s="91"/>
      <c r="E150" s="89"/>
    </row>
    <row r="151" spans="1:5" x14ac:dyDescent="0.25">
      <c r="A151" s="87"/>
      <c r="B151" s="99">
        <f t="shared" si="0"/>
        <v>0</v>
      </c>
      <c r="C151" s="8"/>
      <c r="D151" s="91"/>
      <c r="E151" s="89"/>
    </row>
    <row r="152" spans="1:5" x14ac:dyDescent="0.25">
      <c r="A152" s="87"/>
      <c r="B152" s="99">
        <f t="shared" si="0"/>
        <v>0</v>
      </c>
      <c r="C152" s="8"/>
      <c r="D152" s="91"/>
      <c r="E152" s="89"/>
    </row>
    <row r="153" spans="1:5" x14ac:dyDescent="0.25">
      <c r="A153" s="87"/>
      <c r="B153" s="99">
        <f t="shared" si="0"/>
        <v>0</v>
      </c>
      <c r="C153" s="8"/>
      <c r="D153" s="91"/>
      <c r="E153" s="89"/>
    </row>
    <row r="154" spans="1:5" x14ac:dyDescent="0.25">
      <c r="A154" s="87"/>
      <c r="B154" s="99">
        <f t="shared" si="0"/>
        <v>0</v>
      </c>
      <c r="C154" s="8"/>
      <c r="D154" s="91"/>
      <c r="E154" s="89"/>
    </row>
    <row r="155" spans="1:5" x14ac:dyDescent="0.25">
      <c r="A155" s="87"/>
      <c r="B155" s="99">
        <f t="shared" si="0"/>
        <v>0</v>
      </c>
      <c r="C155" s="8"/>
      <c r="D155" s="91"/>
      <c r="E155" s="89"/>
    </row>
    <row r="156" spans="1:5" x14ac:dyDescent="0.25">
      <c r="A156" s="87"/>
      <c r="B156" s="99">
        <f t="shared" si="0"/>
        <v>0</v>
      </c>
      <c r="C156" s="8"/>
      <c r="D156" s="91"/>
      <c r="E156" s="89"/>
    </row>
    <row r="157" spans="1:5" x14ac:dyDescent="0.25">
      <c r="A157" s="87"/>
      <c r="B157" s="99">
        <f t="shared" si="0"/>
        <v>0</v>
      </c>
      <c r="C157" s="8"/>
      <c r="D157" s="91"/>
      <c r="E157" s="89"/>
    </row>
    <row r="158" spans="1:5" x14ac:dyDescent="0.25">
      <c r="A158" s="87"/>
      <c r="B158" s="99">
        <f t="shared" si="0"/>
        <v>0</v>
      </c>
      <c r="C158" s="8"/>
      <c r="D158" s="91"/>
      <c r="E158" s="89"/>
    </row>
    <row r="159" spans="1:5" x14ac:dyDescent="0.25">
      <c r="A159" s="87"/>
      <c r="B159" s="99">
        <f t="shared" si="0"/>
        <v>0</v>
      </c>
      <c r="C159" s="8"/>
      <c r="D159" s="91"/>
      <c r="E159" s="89"/>
    </row>
    <row r="160" spans="1:5" x14ac:dyDescent="0.25">
      <c r="A160" s="87"/>
      <c r="B160" s="99">
        <f t="shared" si="0"/>
        <v>0</v>
      </c>
      <c r="C160" s="8"/>
      <c r="D160" s="91"/>
      <c r="E160" s="89"/>
    </row>
    <row r="161" spans="1:5" x14ac:dyDescent="0.25">
      <c r="A161" s="87"/>
      <c r="B161" s="99">
        <f t="shared" si="0"/>
        <v>0</v>
      </c>
      <c r="C161" s="8"/>
      <c r="D161" s="91"/>
      <c r="E161" s="89"/>
    </row>
    <row r="162" spans="1:5" x14ac:dyDescent="0.25">
      <c r="A162" s="87"/>
      <c r="B162" s="99">
        <f t="shared" si="0"/>
        <v>0</v>
      </c>
      <c r="C162" s="8"/>
      <c r="D162" s="91"/>
      <c r="E162" s="89"/>
    </row>
    <row r="163" spans="1:5" x14ac:dyDescent="0.25">
      <c r="A163" s="87"/>
      <c r="B163" s="99">
        <f t="shared" si="0"/>
        <v>0</v>
      </c>
      <c r="C163" s="8"/>
      <c r="D163" s="91"/>
      <c r="E163" s="89"/>
    </row>
    <row r="164" spans="1:5" x14ac:dyDescent="0.25">
      <c r="A164" s="87"/>
      <c r="B164" s="99">
        <f t="shared" si="0"/>
        <v>0</v>
      </c>
      <c r="C164" s="8"/>
      <c r="D164" s="91"/>
      <c r="E164" s="89"/>
    </row>
    <row r="165" spans="1:5" x14ac:dyDescent="0.25">
      <c r="A165" s="87"/>
      <c r="B165" s="99">
        <f t="shared" si="0"/>
        <v>0</v>
      </c>
      <c r="C165" s="8"/>
      <c r="D165" s="91"/>
      <c r="E165" s="89"/>
    </row>
    <row r="166" spans="1:5" x14ac:dyDescent="0.25">
      <c r="A166" s="87"/>
      <c r="B166" s="99">
        <f t="shared" si="0"/>
        <v>0</v>
      </c>
      <c r="C166" s="8"/>
      <c r="D166" s="91"/>
      <c r="E166" s="89"/>
    </row>
    <row r="167" spans="1:5" x14ac:dyDescent="0.25">
      <c r="A167" s="87"/>
      <c r="B167" s="99">
        <f t="shared" si="0"/>
        <v>0</v>
      </c>
      <c r="C167" s="8"/>
      <c r="D167" s="91"/>
      <c r="E167" s="89"/>
    </row>
    <row r="168" spans="1:5" x14ac:dyDescent="0.25">
      <c r="A168" s="87"/>
      <c r="B168" s="99">
        <f t="shared" si="0"/>
        <v>0</v>
      </c>
      <c r="C168" s="8"/>
      <c r="D168" s="91"/>
      <c r="E168" s="89"/>
    </row>
    <row r="169" spans="1:5" x14ac:dyDescent="0.25">
      <c r="A169" s="87"/>
      <c r="B169" s="99">
        <f t="shared" si="0"/>
        <v>0</v>
      </c>
      <c r="C169" s="8"/>
      <c r="D169" s="91"/>
      <c r="E169" s="89"/>
    </row>
    <row r="170" spans="1:5" x14ac:dyDescent="0.25">
      <c r="A170" s="87"/>
      <c r="B170" s="99">
        <f t="shared" ref="B170:B233" si="1">WEEKNUM(A170,1)</f>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si="1"/>
        <v>0</v>
      </c>
      <c r="C207" s="8"/>
      <c r="D207" s="91"/>
      <c r="E207" s="89"/>
    </row>
    <row r="208" spans="1:5" x14ac:dyDescent="0.25">
      <c r="A208" s="87"/>
      <c r="B208" s="99">
        <f t="shared" si="1"/>
        <v>0</v>
      </c>
      <c r="C208" s="8"/>
      <c r="D208" s="91"/>
      <c r="E208" s="89"/>
    </row>
    <row r="209" spans="1:5" x14ac:dyDescent="0.25">
      <c r="A209" s="87"/>
      <c r="B209" s="99">
        <f t="shared" si="1"/>
        <v>0</v>
      </c>
      <c r="C209" s="8"/>
      <c r="D209" s="91"/>
      <c r="E209" s="89"/>
    </row>
    <row r="210" spans="1:5" x14ac:dyDescent="0.25">
      <c r="A210" s="87"/>
      <c r="B210" s="99">
        <f t="shared" si="1"/>
        <v>0</v>
      </c>
      <c r="C210" s="8"/>
      <c r="D210" s="91"/>
      <c r="E210" s="89"/>
    </row>
    <row r="211" spans="1:5" x14ac:dyDescent="0.25">
      <c r="A211" s="87"/>
      <c r="B211" s="99">
        <f t="shared" si="1"/>
        <v>0</v>
      </c>
      <c r="C211" s="8"/>
      <c r="D211" s="91"/>
      <c r="E211" s="89"/>
    </row>
    <row r="212" spans="1:5" x14ac:dyDescent="0.25">
      <c r="A212" s="87"/>
      <c r="B212" s="99">
        <f t="shared" si="1"/>
        <v>0</v>
      </c>
      <c r="C212" s="8"/>
      <c r="D212" s="91"/>
      <c r="E212" s="89"/>
    </row>
    <row r="213" spans="1:5" x14ac:dyDescent="0.25">
      <c r="A213" s="87"/>
      <c r="B213" s="99">
        <f t="shared" si="1"/>
        <v>0</v>
      </c>
      <c r="C213" s="8"/>
      <c r="D213" s="91"/>
      <c r="E213" s="89"/>
    </row>
    <row r="214" spans="1:5" x14ac:dyDescent="0.25">
      <c r="A214" s="87"/>
      <c r="B214" s="99">
        <f t="shared" si="1"/>
        <v>0</v>
      </c>
      <c r="C214" s="8"/>
      <c r="D214" s="91"/>
      <c r="E214" s="89"/>
    </row>
    <row r="215" spans="1:5" x14ac:dyDescent="0.25">
      <c r="A215" s="87"/>
      <c r="B215" s="99">
        <f t="shared" si="1"/>
        <v>0</v>
      </c>
      <c r="C215" s="8"/>
      <c r="D215" s="91"/>
      <c r="E215" s="89"/>
    </row>
    <row r="216" spans="1:5" x14ac:dyDescent="0.25">
      <c r="A216" s="87"/>
      <c r="B216" s="99">
        <f t="shared" si="1"/>
        <v>0</v>
      </c>
      <c r="C216" s="8"/>
      <c r="D216" s="91"/>
      <c r="E216" s="89"/>
    </row>
    <row r="217" spans="1:5" x14ac:dyDescent="0.25">
      <c r="A217" s="87"/>
      <c r="B217" s="99">
        <f t="shared" si="1"/>
        <v>0</v>
      </c>
      <c r="C217" s="8"/>
      <c r="D217" s="91"/>
      <c r="E217" s="89"/>
    </row>
    <row r="218" spans="1:5" x14ac:dyDescent="0.25">
      <c r="A218" s="87"/>
      <c r="B218" s="99">
        <f t="shared" si="1"/>
        <v>0</v>
      </c>
      <c r="C218" s="8"/>
      <c r="D218" s="91"/>
      <c r="E218" s="89"/>
    </row>
    <row r="219" spans="1:5" x14ac:dyDescent="0.25">
      <c r="A219" s="87"/>
      <c r="B219" s="99">
        <f t="shared" si="1"/>
        <v>0</v>
      </c>
      <c r="C219" s="8"/>
      <c r="D219" s="91"/>
      <c r="E219" s="89"/>
    </row>
    <row r="220" spans="1:5" x14ac:dyDescent="0.25">
      <c r="A220" s="87"/>
      <c r="B220" s="99">
        <f t="shared" si="1"/>
        <v>0</v>
      </c>
      <c r="C220" s="8"/>
      <c r="D220" s="91"/>
      <c r="E220" s="89"/>
    </row>
    <row r="221" spans="1:5" x14ac:dyDescent="0.25">
      <c r="A221" s="87"/>
      <c r="B221" s="99">
        <f t="shared" si="1"/>
        <v>0</v>
      </c>
      <c r="C221" s="8"/>
      <c r="D221" s="91"/>
      <c r="E221" s="89"/>
    </row>
    <row r="222" spans="1:5" x14ac:dyDescent="0.25">
      <c r="A222" s="87"/>
      <c r="B222" s="99">
        <f t="shared" si="1"/>
        <v>0</v>
      </c>
      <c r="C222" s="8"/>
      <c r="D222" s="91"/>
      <c r="E222" s="89"/>
    </row>
    <row r="223" spans="1:5" x14ac:dyDescent="0.25">
      <c r="A223" s="87"/>
      <c r="B223" s="99">
        <f t="shared" si="1"/>
        <v>0</v>
      </c>
      <c r="C223" s="8"/>
      <c r="D223" s="91"/>
      <c r="E223" s="89"/>
    </row>
    <row r="224" spans="1:5" x14ac:dyDescent="0.25">
      <c r="A224" s="87"/>
      <c r="B224" s="99">
        <f t="shared" si="1"/>
        <v>0</v>
      </c>
      <c r="C224" s="8"/>
      <c r="D224" s="91"/>
      <c r="E224" s="89"/>
    </row>
    <row r="225" spans="1:5" x14ac:dyDescent="0.25">
      <c r="A225" s="87"/>
      <c r="B225" s="99">
        <f t="shared" si="1"/>
        <v>0</v>
      </c>
      <c r="C225" s="8"/>
      <c r="D225" s="91"/>
      <c r="E225" s="89"/>
    </row>
    <row r="226" spans="1:5" x14ac:dyDescent="0.25">
      <c r="A226" s="87"/>
      <c r="B226" s="99">
        <f t="shared" si="1"/>
        <v>0</v>
      </c>
      <c r="C226" s="8"/>
      <c r="D226" s="91"/>
      <c r="E226" s="89"/>
    </row>
    <row r="227" spans="1:5" x14ac:dyDescent="0.25">
      <c r="A227" s="87"/>
      <c r="B227" s="99">
        <f t="shared" si="1"/>
        <v>0</v>
      </c>
      <c r="C227" s="8"/>
      <c r="D227" s="91"/>
      <c r="E227" s="89"/>
    </row>
    <row r="228" spans="1:5" x14ac:dyDescent="0.25">
      <c r="A228" s="87"/>
      <c r="B228" s="99">
        <f t="shared" si="1"/>
        <v>0</v>
      </c>
      <c r="C228" s="8"/>
      <c r="D228" s="91"/>
      <c r="E228" s="89"/>
    </row>
    <row r="229" spans="1:5" x14ac:dyDescent="0.25">
      <c r="A229" s="87"/>
      <c r="B229" s="99">
        <f t="shared" si="1"/>
        <v>0</v>
      </c>
      <c r="C229" s="8"/>
      <c r="D229" s="91"/>
      <c r="E229" s="89"/>
    </row>
    <row r="230" spans="1:5" x14ac:dyDescent="0.25">
      <c r="A230" s="87"/>
      <c r="B230" s="99">
        <f t="shared" si="1"/>
        <v>0</v>
      </c>
      <c r="C230" s="8"/>
      <c r="D230" s="91"/>
      <c r="E230" s="89"/>
    </row>
    <row r="231" spans="1:5" x14ac:dyDescent="0.25">
      <c r="A231" s="87"/>
      <c r="B231" s="99">
        <f t="shared" si="1"/>
        <v>0</v>
      </c>
      <c r="C231" s="8"/>
      <c r="D231" s="91"/>
      <c r="E231" s="89"/>
    </row>
    <row r="232" spans="1:5" x14ac:dyDescent="0.25">
      <c r="A232" s="87"/>
      <c r="B232" s="99">
        <f t="shared" si="1"/>
        <v>0</v>
      </c>
      <c r="C232" s="8"/>
      <c r="D232" s="91"/>
      <c r="E232" s="89"/>
    </row>
    <row r="233" spans="1:5" x14ac:dyDescent="0.25">
      <c r="A233" s="87"/>
      <c r="B233" s="99">
        <f t="shared" si="1"/>
        <v>0</v>
      </c>
      <c r="C233" s="8"/>
      <c r="D233" s="91"/>
      <c r="E233" s="89"/>
    </row>
    <row r="234" spans="1:5" x14ac:dyDescent="0.25">
      <c r="A234" s="87"/>
      <c r="B234" s="99">
        <f t="shared" ref="B234:B297" si="2">WEEKNUM(A234,1)</f>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si="2"/>
        <v>0</v>
      </c>
      <c r="C271" s="8"/>
      <c r="D271" s="91"/>
      <c r="E271" s="89"/>
    </row>
    <row r="272" spans="1:5" x14ac:dyDescent="0.25">
      <c r="A272" s="87"/>
      <c r="B272" s="99">
        <f t="shared" si="2"/>
        <v>0</v>
      </c>
      <c r="C272" s="8"/>
      <c r="D272" s="91"/>
      <c r="E272" s="89"/>
    </row>
    <row r="273" spans="1:5" x14ac:dyDescent="0.25">
      <c r="A273" s="87"/>
      <c r="B273" s="99">
        <f t="shared" si="2"/>
        <v>0</v>
      </c>
      <c r="C273" s="8"/>
      <c r="D273" s="91"/>
      <c r="E273" s="89"/>
    </row>
    <row r="274" spans="1:5" x14ac:dyDescent="0.25">
      <c r="A274" s="87"/>
      <c r="B274" s="99">
        <f t="shared" si="2"/>
        <v>0</v>
      </c>
      <c r="C274" s="8"/>
      <c r="D274" s="91"/>
      <c r="E274" s="89"/>
    </row>
    <row r="275" spans="1:5" x14ac:dyDescent="0.25">
      <c r="A275" s="87"/>
      <c r="B275" s="99">
        <f t="shared" si="2"/>
        <v>0</v>
      </c>
      <c r="C275" s="8"/>
      <c r="D275" s="91"/>
      <c r="E275" s="89"/>
    </row>
    <row r="276" spans="1:5" x14ac:dyDescent="0.25">
      <c r="A276" s="87"/>
      <c r="B276" s="99">
        <f t="shared" si="2"/>
        <v>0</v>
      </c>
      <c r="C276" s="8"/>
      <c r="D276" s="91"/>
      <c r="E276" s="89"/>
    </row>
    <row r="277" spans="1:5" x14ac:dyDescent="0.25">
      <c r="A277" s="87"/>
      <c r="B277" s="99">
        <f t="shared" si="2"/>
        <v>0</v>
      </c>
      <c r="C277" s="8"/>
      <c r="D277" s="91"/>
      <c r="E277" s="89"/>
    </row>
    <row r="278" spans="1:5" x14ac:dyDescent="0.25">
      <c r="A278" s="87"/>
      <c r="B278" s="99">
        <f t="shared" si="2"/>
        <v>0</v>
      </c>
      <c r="C278" s="8"/>
      <c r="D278" s="91"/>
      <c r="E278" s="89"/>
    </row>
    <row r="279" spans="1:5" x14ac:dyDescent="0.25">
      <c r="A279" s="87"/>
      <c r="B279" s="99">
        <f t="shared" si="2"/>
        <v>0</v>
      </c>
      <c r="C279" s="8"/>
      <c r="D279" s="91"/>
      <c r="E279" s="89"/>
    </row>
    <row r="280" spans="1:5" x14ac:dyDescent="0.25">
      <c r="A280" s="87"/>
      <c r="B280" s="99">
        <f t="shared" si="2"/>
        <v>0</v>
      </c>
      <c r="C280" s="8"/>
      <c r="D280" s="91"/>
      <c r="E280" s="89"/>
    </row>
    <row r="281" spans="1:5" x14ac:dyDescent="0.25">
      <c r="A281" s="87"/>
      <c r="B281" s="99">
        <f t="shared" si="2"/>
        <v>0</v>
      </c>
      <c r="C281" s="8"/>
      <c r="D281" s="91"/>
      <c r="E281" s="89"/>
    </row>
    <row r="282" spans="1:5" x14ac:dyDescent="0.25">
      <c r="A282" s="87"/>
      <c r="B282" s="99">
        <f t="shared" si="2"/>
        <v>0</v>
      </c>
      <c r="C282" s="8"/>
      <c r="D282" s="91"/>
      <c r="E282" s="89"/>
    </row>
    <row r="283" spans="1:5" x14ac:dyDescent="0.25">
      <c r="A283" s="87"/>
      <c r="B283" s="99">
        <f t="shared" si="2"/>
        <v>0</v>
      </c>
      <c r="C283" s="8"/>
      <c r="D283" s="91"/>
      <c r="E283" s="89"/>
    </row>
    <row r="284" spans="1:5" x14ac:dyDescent="0.25">
      <c r="A284" s="87"/>
      <c r="B284" s="99">
        <f t="shared" si="2"/>
        <v>0</v>
      </c>
      <c r="C284" s="8"/>
      <c r="D284" s="91"/>
      <c r="E284" s="89"/>
    </row>
    <row r="285" spans="1:5" x14ac:dyDescent="0.25">
      <c r="A285" s="87"/>
      <c r="B285" s="99">
        <f t="shared" si="2"/>
        <v>0</v>
      </c>
      <c r="C285" s="8"/>
      <c r="D285" s="91"/>
      <c r="E285" s="89"/>
    </row>
    <row r="286" spans="1:5" x14ac:dyDescent="0.25">
      <c r="A286" s="87"/>
      <c r="B286" s="99">
        <f t="shared" si="2"/>
        <v>0</v>
      </c>
      <c r="C286" s="8"/>
      <c r="D286" s="91"/>
      <c r="E286" s="89"/>
    </row>
    <row r="287" spans="1:5" x14ac:dyDescent="0.25">
      <c r="A287" s="87"/>
      <c r="B287" s="99">
        <f t="shared" si="2"/>
        <v>0</v>
      </c>
      <c r="C287" s="8"/>
      <c r="D287" s="91"/>
      <c r="E287" s="89"/>
    </row>
    <row r="288" spans="1:5" x14ac:dyDescent="0.25">
      <c r="A288" s="87"/>
      <c r="B288" s="99">
        <f t="shared" si="2"/>
        <v>0</v>
      </c>
      <c r="C288" s="8"/>
      <c r="D288" s="91"/>
      <c r="E288" s="89"/>
    </row>
    <row r="289" spans="1:5" x14ac:dyDescent="0.25">
      <c r="A289" s="87"/>
      <c r="B289" s="99">
        <f t="shared" si="2"/>
        <v>0</v>
      </c>
      <c r="C289" s="8"/>
      <c r="D289" s="91"/>
      <c r="E289" s="89"/>
    </row>
    <row r="290" spans="1:5" x14ac:dyDescent="0.25">
      <c r="A290" s="87"/>
      <c r="B290" s="99">
        <f t="shared" si="2"/>
        <v>0</v>
      </c>
      <c r="C290" s="8"/>
      <c r="D290" s="91"/>
      <c r="E290" s="89"/>
    </row>
    <row r="291" spans="1:5" x14ac:dyDescent="0.25">
      <c r="A291" s="87"/>
      <c r="B291" s="99">
        <f t="shared" si="2"/>
        <v>0</v>
      </c>
      <c r="C291" s="8"/>
      <c r="D291" s="91"/>
      <c r="E291" s="89"/>
    </row>
    <row r="292" spans="1:5" x14ac:dyDescent="0.25">
      <c r="A292" s="87"/>
      <c r="B292" s="99">
        <f t="shared" si="2"/>
        <v>0</v>
      </c>
      <c r="C292" s="8"/>
      <c r="D292" s="91"/>
      <c r="E292" s="89"/>
    </row>
    <row r="293" spans="1:5" x14ac:dyDescent="0.25">
      <c r="A293" s="87"/>
      <c r="B293" s="99">
        <f t="shared" si="2"/>
        <v>0</v>
      </c>
      <c r="C293" s="8"/>
      <c r="D293" s="91"/>
      <c r="E293" s="89"/>
    </row>
    <row r="294" spans="1:5" x14ac:dyDescent="0.25">
      <c r="A294" s="87"/>
      <c r="B294" s="99">
        <f t="shared" si="2"/>
        <v>0</v>
      </c>
      <c r="C294" s="8"/>
      <c r="D294" s="91"/>
      <c r="E294" s="89"/>
    </row>
    <row r="295" spans="1:5" x14ac:dyDescent="0.25">
      <c r="A295" s="87"/>
      <c r="B295" s="99">
        <f t="shared" si="2"/>
        <v>0</v>
      </c>
      <c r="C295" s="8"/>
      <c r="D295" s="91"/>
      <c r="E295" s="89"/>
    </row>
    <row r="296" spans="1:5" x14ac:dyDescent="0.25">
      <c r="A296" s="87"/>
      <c r="B296" s="99">
        <f t="shared" si="2"/>
        <v>0</v>
      </c>
      <c r="C296" s="8"/>
      <c r="D296" s="91"/>
      <c r="E296" s="89"/>
    </row>
    <row r="297" spans="1:5" x14ac:dyDescent="0.25">
      <c r="A297" s="87"/>
      <c r="B297" s="99">
        <f t="shared" si="2"/>
        <v>0</v>
      </c>
      <c r="C297" s="8"/>
      <c r="D297" s="91"/>
      <c r="E297" s="89"/>
    </row>
    <row r="298" spans="1:5" x14ac:dyDescent="0.25">
      <c r="A298" s="87"/>
      <c r="B298" s="99">
        <f t="shared" ref="B298:B361" si="3">WEEKNUM(A298,1)</f>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si="3"/>
        <v>0</v>
      </c>
      <c r="C335" s="8"/>
      <c r="D335" s="91"/>
      <c r="E335" s="89"/>
    </row>
    <row r="336" spans="1:5" x14ac:dyDescent="0.25">
      <c r="A336" s="87"/>
      <c r="B336" s="99">
        <f t="shared" si="3"/>
        <v>0</v>
      </c>
      <c r="C336" s="8"/>
      <c r="D336" s="91"/>
      <c r="E336" s="89"/>
    </row>
    <row r="337" spans="1:5" x14ac:dyDescent="0.25">
      <c r="A337" s="87"/>
      <c r="B337" s="99">
        <f t="shared" si="3"/>
        <v>0</v>
      </c>
      <c r="C337" s="8"/>
      <c r="D337" s="91"/>
      <c r="E337" s="89"/>
    </row>
    <row r="338" spans="1:5" x14ac:dyDescent="0.25">
      <c r="A338" s="87"/>
      <c r="B338" s="99">
        <f t="shared" si="3"/>
        <v>0</v>
      </c>
      <c r="C338" s="8"/>
      <c r="D338" s="91"/>
      <c r="E338" s="89"/>
    </row>
    <row r="339" spans="1:5" x14ac:dyDescent="0.25">
      <c r="A339" s="87"/>
      <c r="B339" s="99">
        <f t="shared" si="3"/>
        <v>0</v>
      </c>
      <c r="C339" s="8"/>
      <c r="D339" s="91"/>
      <c r="E339" s="89"/>
    </row>
    <row r="340" spans="1:5" x14ac:dyDescent="0.25">
      <c r="A340" s="87"/>
      <c r="B340" s="99">
        <f t="shared" si="3"/>
        <v>0</v>
      </c>
      <c r="C340" s="8"/>
      <c r="D340" s="91"/>
      <c r="E340" s="89"/>
    </row>
    <row r="341" spans="1:5" x14ac:dyDescent="0.25">
      <c r="A341" s="87"/>
      <c r="B341" s="99">
        <f t="shared" si="3"/>
        <v>0</v>
      </c>
      <c r="C341" s="8"/>
      <c r="D341" s="91"/>
      <c r="E341" s="89"/>
    </row>
    <row r="342" spans="1:5" x14ac:dyDescent="0.25">
      <c r="A342" s="87"/>
      <c r="B342" s="99">
        <f t="shared" si="3"/>
        <v>0</v>
      </c>
      <c r="C342" s="8"/>
      <c r="D342" s="91"/>
      <c r="E342" s="89"/>
    </row>
    <row r="343" spans="1:5" x14ac:dyDescent="0.25">
      <c r="A343" s="87"/>
      <c r="B343" s="99">
        <f t="shared" si="3"/>
        <v>0</v>
      </c>
      <c r="C343" s="8"/>
      <c r="D343" s="91"/>
      <c r="E343" s="89"/>
    </row>
    <row r="344" spans="1:5" x14ac:dyDescent="0.25">
      <c r="A344" s="87"/>
      <c r="B344" s="99">
        <f t="shared" si="3"/>
        <v>0</v>
      </c>
      <c r="C344" s="8"/>
      <c r="D344" s="91"/>
      <c r="E344" s="89"/>
    </row>
    <row r="345" spans="1:5" x14ac:dyDescent="0.25">
      <c r="A345" s="87"/>
      <c r="B345" s="99">
        <f t="shared" si="3"/>
        <v>0</v>
      </c>
      <c r="C345" s="8"/>
      <c r="D345" s="91"/>
      <c r="E345" s="89"/>
    </row>
    <row r="346" spans="1:5" x14ac:dyDescent="0.25">
      <c r="A346" s="87"/>
      <c r="B346" s="99">
        <f t="shared" si="3"/>
        <v>0</v>
      </c>
      <c r="C346" s="8"/>
      <c r="D346" s="91"/>
      <c r="E346" s="89"/>
    </row>
    <row r="347" spans="1:5" x14ac:dyDescent="0.25">
      <c r="A347" s="87"/>
      <c r="B347" s="99">
        <f t="shared" si="3"/>
        <v>0</v>
      </c>
      <c r="C347" s="8"/>
      <c r="D347" s="91"/>
      <c r="E347" s="89"/>
    </row>
    <row r="348" spans="1:5" x14ac:dyDescent="0.25">
      <c r="A348" s="87"/>
      <c r="B348" s="99">
        <f t="shared" si="3"/>
        <v>0</v>
      </c>
      <c r="C348" s="8"/>
      <c r="D348" s="91"/>
      <c r="E348" s="89"/>
    </row>
    <row r="349" spans="1:5" x14ac:dyDescent="0.25">
      <c r="A349" s="87"/>
      <c r="B349" s="99">
        <f t="shared" si="3"/>
        <v>0</v>
      </c>
      <c r="C349" s="8"/>
      <c r="D349" s="91"/>
      <c r="E349" s="89"/>
    </row>
    <row r="350" spans="1:5" x14ac:dyDescent="0.25">
      <c r="A350" s="87"/>
      <c r="B350" s="99">
        <f t="shared" si="3"/>
        <v>0</v>
      </c>
      <c r="C350" s="8"/>
      <c r="D350" s="91"/>
      <c r="E350" s="89"/>
    </row>
    <row r="351" spans="1:5" x14ac:dyDescent="0.25">
      <c r="A351" s="87"/>
      <c r="B351" s="99">
        <f t="shared" si="3"/>
        <v>0</v>
      </c>
      <c r="C351" s="8"/>
      <c r="D351" s="91"/>
      <c r="E351" s="89"/>
    </row>
    <row r="352" spans="1:5" x14ac:dyDescent="0.25">
      <c r="A352" s="87"/>
      <c r="B352" s="99">
        <f t="shared" si="3"/>
        <v>0</v>
      </c>
      <c r="C352" s="8"/>
      <c r="D352" s="91"/>
      <c r="E352" s="89"/>
    </row>
    <row r="353" spans="1:5" x14ac:dyDescent="0.25">
      <c r="A353" s="87"/>
      <c r="B353" s="99">
        <f t="shared" si="3"/>
        <v>0</v>
      </c>
      <c r="C353" s="8"/>
      <c r="D353" s="91"/>
      <c r="E353" s="89"/>
    </row>
    <row r="354" spans="1:5" x14ac:dyDescent="0.25">
      <c r="A354" s="87"/>
      <c r="B354" s="99">
        <f t="shared" si="3"/>
        <v>0</v>
      </c>
      <c r="C354" s="8"/>
      <c r="D354" s="91"/>
      <c r="E354" s="89"/>
    </row>
    <row r="355" spans="1:5" x14ac:dyDescent="0.25">
      <c r="A355" s="87"/>
      <c r="B355" s="99">
        <f t="shared" si="3"/>
        <v>0</v>
      </c>
      <c r="C355" s="8"/>
      <c r="D355" s="91"/>
      <c r="E355" s="89"/>
    </row>
    <row r="356" spans="1:5" x14ac:dyDescent="0.25">
      <c r="A356" s="87"/>
      <c r="B356" s="99">
        <f t="shared" si="3"/>
        <v>0</v>
      </c>
      <c r="C356" s="8"/>
      <c r="D356" s="91"/>
      <c r="E356" s="89"/>
    </row>
    <row r="357" spans="1:5" x14ac:dyDescent="0.25">
      <c r="A357" s="87"/>
      <c r="B357" s="99">
        <f t="shared" si="3"/>
        <v>0</v>
      </c>
      <c r="C357" s="8"/>
      <c r="D357" s="91"/>
      <c r="E357" s="89"/>
    </row>
    <row r="358" spans="1:5" x14ac:dyDescent="0.25">
      <c r="A358" s="87"/>
      <c r="B358" s="99">
        <f t="shared" si="3"/>
        <v>0</v>
      </c>
      <c r="C358" s="8"/>
      <c r="D358" s="91"/>
      <c r="E358" s="89"/>
    </row>
    <row r="359" spans="1:5" x14ac:dyDescent="0.25">
      <c r="A359" s="87"/>
      <c r="B359" s="99">
        <f t="shared" si="3"/>
        <v>0</v>
      </c>
      <c r="C359" s="8"/>
      <c r="D359" s="91"/>
      <c r="E359" s="89"/>
    </row>
    <row r="360" spans="1:5" x14ac:dyDescent="0.25">
      <c r="A360" s="87"/>
      <c r="B360" s="99">
        <f t="shared" si="3"/>
        <v>0</v>
      </c>
      <c r="C360" s="8"/>
      <c r="D360" s="91"/>
      <c r="E360" s="89"/>
    </row>
    <row r="361" spans="1:5" x14ac:dyDescent="0.25">
      <c r="A361" s="87"/>
      <c r="B361" s="99">
        <f t="shared" si="3"/>
        <v>0</v>
      </c>
      <c r="C361" s="8"/>
      <c r="D361" s="91"/>
      <c r="E361" s="89"/>
    </row>
    <row r="362" spans="1:5" x14ac:dyDescent="0.25">
      <c r="A362" s="87"/>
      <c r="B362" s="99">
        <f t="shared" ref="B362:B425" si="4">WEEKNUM(A362,1)</f>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si="4"/>
        <v>0</v>
      </c>
      <c r="C399" s="8"/>
      <c r="D399" s="91"/>
      <c r="E399" s="89"/>
    </row>
    <row r="400" spans="1:5" x14ac:dyDescent="0.25">
      <c r="A400" s="87"/>
      <c r="B400" s="99">
        <f t="shared" si="4"/>
        <v>0</v>
      </c>
      <c r="C400" s="8"/>
      <c r="D400" s="91"/>
      <c r="E400" s="89"/>
    </row>
    <row r="401" spans="1:5" x14ac:dyDescent="0.25">
      <c r="A401" s="87"/>
      <c r="B401" s="99">
        <f t="shared" si="4"/>
        <v>0</v>
      </c>
      <c r="C401" s="8"/>
      <c r="D401" s="91"/>
      <c r="E401" s="89"/>
    </row>
    <row r="402" spans="1:5" x14ac:dyDescent="0.25">
      <c r="A402" s="87"/>
      <c r="B402" s="99">
        <f t="shared" si="4"/>
        <v>0</v>
      </c>
      <c r="C402" s="8"/>
      <c r="D402" s="91"/>
      <c r="E402" s="89"/>
    </row>
    <row r="403" spans="1:5" x14ac:dyDescent="0.25">
      <c r="A403" s="87"/>
      <c r="B403" s="99">
        <f t="shared" si="4"/>
        <v>0</v>
      </c>
      <c r="C403" s="8"/>
      <c r="D403" s="91"/>
      <c r="E403" s="89"/>
    </row>
    <row r="404" spans="1:5" x14ac:dyDescent="0.25">
      <c r="A404" s="87"/>
      <c r="B404" s="99">
        <f t="shared" si="4"/>
        <v>0</v>
      </c>
      <c r="C404" s="8"/>
      <c r="D404" s="91"/>
      <c r="E404" s="89"/>
    </row>
    <row r="405" spans="1:5" x14ac:dyDescent="0.25">
      <c r="A405" s="87"/>
      <c r="B405" s="99">
        <f t="shared" si="4"/>
        <v>0</v>
      </c>
      <c r="C405" s="8"/>
      <c r="D405" s="91"/>
      <c r="E405" s="89"/>
    </row>
    <row r="406" spans="1:5" x14ac:dyDescent="0.25">
      <c r="A406" s="87"/>
      <c r="B406" s="99">
        <f t="shared" si="4"/>
        <v>0</v>
      </c>
      <c r="C406" s="8"/>
      <c r="D406" s="91"/>
      <c r="E406" s="89"/>
    </row>
    <row r="407" spans="1:5" x14ac:dyDescent="0.25">
      <c r="A407" s="87"/>
      <c r="B407" s="99">
        <f t="shared" si="4"/>
        <v>0</v>
      </c>
      <c r="C407" s="8"/>
      <c r="D407" s="91"/>
      <c r="E407" s="89"/>
    </row>
    <row r="408" spans="1:5" x14ac:dyDescent="0.25">
      <c r="A408" s="87"/>
      <c r="B408" s="99">
        <f t="shared" si="4"/>
        <v>0</v>
      </c>
      <c r="C408" s="8"/>
      <c r="D408" s="91"/>
      <c r="E408" s="89"/>
    </row>
    <row r="409" spans="1:5" x14ac:dyDescent="0.25">
      <c r="A409" s="87"/>
      <c r="B409" s="99">
        <f t="shared" si="4"/>
        <v>0</v>
      </c>
      <c r="C409" s="8"/>
      <c r="D409" s="91"/>
      <c r="E409" s="89"/>
    </row>
    <row r="410" spans="1:5" x14ac:dyDescent="0.25">
      <c r="A410" s="87"/>
      <c r="B410" s="99">
        <f t="shared" si="4"/>
        <v>0</v>
      </c>
      <c r="C410" s="8"/>
      <c r="D410" s="91"/>
      <c r="E410" s="89"/>
    </row>
    <row r="411" spans="1:5" x14ac:dyDescent="0.25">
      <c r="A411" s="87"/>
      <c r="B411" s="99">
        <f t="shared" si="4"/>
        <v>0</v>
      </c>
      <c r="C411" s="8"/>
      <c r="D411" s="91"/>
      <c r="E411" s="89"/>
    </row>
    <row r="412" spans="1:5" x14ac:dyDescent="0.25">
      <c r="A412" s="87"/>
      <c r="B412" s="99">
        <f t="shared" si="4"/>
        <v>0</v>
      </c>
      <c r="C412" s="8"/>
      <c r="D412" s="91"/>
      <c r="E412" s="89"/>
    </row>
    <row r="413" spans="1:5" x14ac:dyDescent="0.25">
      <c r="A413" s="87"/>
      <c r="B413" s="99">
        <f t="shared" si="4"/>
        <v>0</v>
      </c>
      <c r="C413" s="8"/>
      <c r="D413" s="91"/>
      <c r="E413" s="89"/>
    </row>
    <row r="414" spans="1:5" x14ac:dyDescent="0.25">
      <c r="A414" s="87"/>
      <c r="B414" s="99">
        <f t="shared" si="4"/>
        <v>0</v>
      </c>
      <c r="C414" s="8"/>
      <c r="D414" s="91"/>
      <c r="E414" s="89"/>
    </row>
    <row r="415" spans="1:5" x14ac:dyDescent="0.25">
      <c r="A415" s="87"/>
      <c r="B415" s="99">
        <f t="shared" si="4"/>
        <v>0</v>
      </c>
      <c r="C415" s="8"/>
      <c r="D415" s="91"/>
      <c r="E415" s="89"/>
    </row>
    <row r="416" spans="1:5" x14ac:dyDescent="0.25">
      <c r="A416" s="87"/>
      <c r="B416" s="99">
        <f t="shared" si="4"/>
        <v>0</v>
      </c>
      <c r="C416" s="8"/>
      <c r="D416" s="91"/>
      <c r="E416" s="89"/>
    </row>
    <row r="417" spans="1:5" x14ac:dyDescent="0.25">
      <c r="A417" s="87"/>
      <c r="B417" s="99">
        <f t="shared" si="4"/>
        <v>0</v>
      </c>
      <c r="C417" s="8"/>
      <c r="D417" s="91"/>
      <c r="E417" s="89"/>
    </row>
    <row r="418" spans="1:5" x14ac:dyDescent="0.25">
      <c r="A418" s="87"/>
      <c r="B418" s="99">
        <f t="shared" si="4"/>
        <v>0</v>
      </c>
      <c r="C418" s="8"/>
      <c r="D418" s="91"/>
      <c r="E418" s="89"/>
    </row>
    <row r="419" spans="1:5" x14ac:dyDescent="0.25">
      <c r="A419" s="87"/>
      <c r="B419" s="99">
        <f t="shared" si="4"/>
        <v>0</v>
      </c>
      <c r="C419" s="8"/>
      <c r="D419" s="91"/>
      <c r="E419" s="89"/>
    </row>
    <row r="420" spans="1:5" x14ac:dyDescent="0.25">
      <c r="A420" s="87"/>
      <c r="B420" s="99">
        <f t="shared" si="4"/>
        <v>0</v>
      </c>
      <c r="C420" s="8"/>
      <c r="D420" s="91"/>
      <c r="E420" s="89"/>
    </row>
    <row r="421" spans="1:5" x14ac:dyDescent="0.25">
      <c r="A421" s="87"/>
      <c r="B421" s="99">
        <f t="shared" si="4"/>
        <v>0</v>
      </c>
      <c r="C421" s="8"/>
      <c r="D421" s="91"/>
      <c r="E421" s="89"/>
    </row>
    <row r="422" spans="1:5" x14ac:dyDescent="0.25">
      <c r="A422" s="87"/>
      <c r="B422" s="99">
        <f t="shared" si="4"/>
        <v>0</v>
      </c>
      <c r="C422" s="8"/>
      <c r="D422" s="91"/>
      <c r="E422" s="89"/>
    </row>
    <row r="423" spans="1:5" x14ac:dyDescent="0.25">
      <c r="A423" s="87"/>
      <c r="B423" s="99">
        <f t="shared" si="4"/>
        <v>0</v>
      </c>
      <c r="C423" s="8"/>
      <c r="D423" s="91"/>
      <c r="E423" s="89"/>
    </row>
    <row r="424" spans="1:5" x14ac:dyDescent="0.25">
      <c r="A424" s="87"/>
      <c r="B424" s="99">
        <f t="shared" si="4"/>
        <v>0</v>
      </c>
      <c r="C424" s="8"/>
      <c r="D424" s="91"/>
      <c r="E424" s="89"/>
    </row>
    <row r="425" spans="1:5" x14ac:dyDescent="0.25">
      <c r="A425" s="87"/>
      <c r="B425" s="99">
        <f t="shared" si="4"/>
        <v>0</v>
      </c>
      <c r="C425" s="8"/>
      <c r="D425" s="91"/>
      <c r="E425" s="89"/>
    </row>
    <row r="426" spans="1:5" x14ac:dyDescent="0.25">
      <c r="A426" s="87"/>
      <c r="B426" s="99">
        <f t="shared" ref="B426:B489" si="5">WEEKNUM(A426,1)</f>
        <v>0</v>
      </c>
      <c r="C426" s="8"/>
      <c r="D426" s="91"/>
      <c r="E426" s="89"/>
    </row>
    <row r="427" spans="1:5" x14ac:dyDescent="0.25">
      <c r="A427" s="87"/>
      <c r="B427" s="99">
        <f t="shared" si="5"/>
        <v>0</v>
      </c>
      <c r="C427" s="8"/>
      <c r="D427" s="91"/>
      <c r="E427" s="89"/>
    </row>
    <row r="428" spans="1:5" x14ac:dyDescent="0.25">
      <c r="A428" s="87"/>
      <c r="B428" s="99">
        <f t="shared" si="5"/>
        <v>0</v>
      </c>
      <c r="C428" s="8"/>
      <c r="D428" s="91"/>
      <c r="E428" s="89"/>
    </row>
    <row r="429" spans="1:5" x14ac:dyDescent="0.25">
      <c r="A429" s="87"/>
      <c r="B429" s="99">
        <f t="shared" si="5"/>
        <v>0</v>
      </c>
      <c r="C429" s="8"/>
      <c r="D429" s="91"/>
      <c r="E429" s="89"/>
    </row>
    <row r="430" spans="1:5" x14ac:dyDescent="0.25">
      <c r="A430" s="87"/>
      <c r="B430" s="99">
        <f t="shared" si="5"/>
        <v>0</v>
      </c>
      <c r="C430" s="8"/>
      <c r="D430" s="91"/>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si="5"/>
        <v>0</v>
      </c>
      <c r="C463" s="8"/>
      <c r="D463" s="90"/>
      <c r="E463" s="89"/>
    </row>
    <row r="464" spans="1:5" x14ac:dyDescent="0.25">
      <c r="A464" s="86"/>
      <c r="B464" s="98">
        <f t="shared" si="5"/>
        <v>0</v>
      </c>
      <c r="C464" s="8"/>
      <c r="D464" s="90"/>
      <c r="E464" s="89"/>
    </row>
    <row r="465" spans="1:5" x14ac:dyDescent="0.25">
      <c r="A465" s="86"/>
      <c r="B465" s="98">
        <f t="shared" si="5"/>
        <v>0</v>
      </c>
      <c r="C465" s="8"/>
      <c r="D465" s="90"/>
      <c r="E465" s="89"/>
    </row>
    <row r="466" spans="1:5" x14ac:dyDescent="0.25">
      <c r="A466" s="86"/>
      <c r="B466" s="98">
        <f t="shared" si="5"/>
        <v>0</v>
      </c>
      <c r="C466" s="8"/>
      <c r="D466" s="90"/>
      <c r="E466" s="89"/>
    </row>
    <row r="467" spans="1:5" x14ac:dyDescent="0.25">
      <c r="A467" s="86"/>
      <c r="B467" s="98">
        <f t="shared" si="5"/>
        <v>0</v>
      </c>
      <c r="C467" s="8"/>
      <c r="D467" s="90"/>
      <c r="E467" s="89"/>
    </row>
    <row r="468" spans="1:5" x14ac:dyDescent="0.25">
      <c r="A468" s="86"/>
      <c r="B468" s="98">
        <f t="shared" si="5"/>
        <v>0</v>
      </c>
      <c r="C468" s="8"/>
      <c r="D468" s="90"/>
      <c r="E468" s="89"/>
    </row>
    <row r="469" spans="1:5" x14ac:dyDescent="0.25">
      <c r="A469" s="86"/>
      <c r="B469" s="98">
        <f t="shared" si="5"/>
        <v>0</v>
      </c>
      <c r="C469" s="8"/>
      <c r="D469" s="90"/>
      <c r="E469" s="89"/>
    </row>
    <row r="470" spans="1:5" x14ac:dyDescent="0.25">
      <c r="A470" s="86"/>
      <c r="B470" s="98">
        <f t="shared" si="5"/>
        <v>0</v>
      </c>
      <c r="C470" s="8"/>
      <c r="D470" s="90"/>
      <c r="E470" s="89"/>
    </row>
    <row r="471" spans="1:5" x14ac:dyDescent="0.25">
      <c r="A471" s="86"/>
      <c r="B471" s="98">
        <f t="shared" si="5"/>
        <v>0</v>
      </c>
      <c r="C471" s="8"/>
      <c r="D471" s="90"/>
      <c r="E471" s="89"/>
    </row>
    <row r="472" spans="1:5" x14ac:dyDescent="0.25">
      <c r="A472" s="86"/>
      <c r="B472" s="98">
        <f t="shared" si="5"/>
        <v>0</v>
      </c>
      <c r="C472" s="8"/>
      <c r="D472" s="90"/>
      <c r="E472" s="89"/>
    </row>
    <row r="473" spans="1:5" x14ac:dyDescent="0.25">
      <c r="A473" s="86"/>
      <c r="B473" s="98">
        <f t="shared" si="5"/>
        <v>0</v>
      </c>
      <c r="C473" s="8"/>
      <c r="D473" s="90"/>
      <c r="E473" s="89"/>
    </row>
    <row r="474" spans="1:5" x14ac:dyDescent="0.25">
      <c r="A474" s="86"/>
      <c r="B474" s="98">
        <f t="shared" si="5"/>
        <v>0</v>
      </c>
      <c r="C474" s="8"/>
      <c r="D474" s="90"/>
      <c r="E474" s="89"/>
    </row>
    <row r="475" spans="1:5" x14ac:dyDescent="0.25">
      <c r="A475" s="86"/>
      <c r="B475" s="98">
        <f t="shared" si="5"/>
        <v>0</v>
      </c>
      <c r="C475" s="8"/>
      <c r="D475" s="90"/>
      <c r="E475" s="89"/>
    </row>
    <row r="476" spans="1:5" x14ac:dyDescent="0.25">
      <c r="A476" s="86"/>
      <c r="B476" s="98">
        <f t="shared" si="5"/>
        <v>0</v>
      </c>
      <c r="C476" s="8"/>
      <c r="D476" s="90"/>
      <c r="E476" s="89"/>
    </row>
    <row r="477" spans="1:5" x14ac:dyDescent="0.25">
      <c r="A477" s="86"/>
      <c r="B477" s="98">
        <f t="shared" si="5"/>
        <v>0</v>
      </c>
      <c r="C477" s="8"/>
      <c r="D477" s="90"/>
      <c r="E477" s="89"/>
    </row>
    <row r="478" spans="1:5" x14ac:dyDescent="0.25">
      <c r="A478" s="86"/>
      <c r="B478" s="98">
        <f t="shared" si="5"/>
        <v>0</v>
      </c>
      <c r="C478" s="8"/>
      <c r="D478" s="90"/>
      <c r="E478" s="89"/>
    </row>
    <row r="479" spans="1:5" x14ac:dyDescent="0.25">
      <c r="A479" s="86"/>
      <c r="B479" s="98">
        <f t="shared" si="5"/>
        <v>0</v>
      </c>
      <c r="C479" s="8"/>
      <c r="D479" s="90"/>
      <c r="E479" s="89"/>
    </row>
    <row r="480" spans="1:5" x14ac:dyDescent="0.25">
      <c r="A480" s="86"/>
      <c r="B480" s="98">
        <f t="shared" si="5"/>
        <v>0</v>
      </c>
      <c r="C480" s="8"/>
      <c r="D480" s="90"/>
      <c r="E480" s="89"/>
    </row>
    <row r="481" spans="1:5" x14ac:dyDescent="0.25">
      <c r="A481" s="86"/>
      <c r="B481" s="98">
        <f t="shared" si="5"/>
        <v>0</v>
      </c>
      <c r="C481" s="8"/>
      <c r="D481" s="90"/>
      <c r="E481" s="89"/>
    </row>
    <row r="482" spans="1:5" x14ac:dyDescent="0.25">
      <c r="A482" s="86"/>
      <c r="B482" s="98">
        <f t="shared" si="5"/>
        <v>0</v>
      </c>
      <c r="C482" s="8"/>
      <c r="D482" s="90"/>
      <c r="E482" s="89"/>
    </row>
    <row r="483" spans="1:5" x14ac:dyDescent="0.25">
      <c r="A483" s="86"/>
      <c r="B483" s="98">
        <f t="shared" si="5"/>
        <v>0</v>
      </c>
      <c r="C483" s="8"/>
      <c r="D483" s="90"/>
      <c r="E483" s="89"/>
    </row>
    <row r="484" spans="1:5" x14ac:dyDescent="0.25">
      <c r="A484" s="86"/>
      <c r="B484" s="98">
        <f t="shared" si="5"/>
        <v>0</v>
      </c>
      <c r="C484" s="8"/>
      <c r="D484" s="90"/>
      <c r="E484" s="89"/>
    </row>
    <row r="485" spans="1:5" x14ac:dyDescent="0.25">
      <c r="A485" s="86"/>
      <c r="B485" s="98">
        <f t="shared" si="5"/>
        <v>0</v>
      </c>
      <c r="C485" s="8"/>
      <c r="D485" s="90"/>
      <c r="E485" s="89"/>
    </row>
    <row r="486" spans="1:5" x14ac:dyDescent="0.25">
      <c r="A486" s="86"/>
      <c r="B486" s="98">
        <f t="shared" si="5"/>
        <v>0</v>
      </c>
      <c r="C486" s="8"/>
      <c r="D486" s="90"/>
      <c r="E486" s="89"/>
    </row>
    <row r="487" spans="1:5" x14ac:dyDescent="0.25">
      <c r="A487" s="86"/>
      <c r="B487" s="98">
        <f t="shared" si="5"/>
        <v>0</v>
      </c>
      <c r="C487" s="8"/>
      <c r="D487" s="90"/>
      <c r="E487" s="89"/>
    </row>
    <row r="488" spans="1:5" x14ac:dyDescent="0.25">
      <c r="A488" s="86"/>
      <c r="B488" s="98">
        <f t="shared" si="5"/>
        <v>0</v>
      </c>
      <c r="C488" s="8"/>
      <c r="D488" s="90"/>
      <c r="E488" s="89"/>
    </row>
    <row r="489" spans="1:5" x14ac:dyDescent="0.25">
      <c r="A489" s="86"/>
      <c r="B489" s="98">
        <f t="shared" si="5"/>
        <v>0</v>
      </c>
      <c r="C489" s="8"/>
      <c r="D489" s="90"/>
      <c r="E489" s="89"/>
    </row>
    <row r="490" spans="1:5" x14ac:dyDescent="0.25">
      <c r="A490" s="86"/>
      <c r="B490" s="98">
        <f t="shared" ref="B490:B553" si="6">WEEKNUM(A490,1)</f>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si="6"/>
        <v>0</v>
      </c>
      <c r="C527" s="8"/>
      <c r="D527" s="90"/>
      <c r="E527" s="89"/>
    </row>
    <row r="528" spans="1:5" x14ac:dyDescent="0.25">
      <c r="A528" s="86"/>
      <c r="B528" s="98">
        <f t="shared" si="6"/>
        <v>0</v>
      </c>
      <c r="C528" s="8"/>
      <c r="D528" s="90"/>
      <c r="E528" s="89"/>
    </row>
    <row r="529" spans="1:5" x14ac:dyDescent="0.25">
      <c r="A529" s="86"/>
      <c r="B529" s="98">
        <f t="shared" si="6"/>
        <v>0</v>
      </c>
      <c r="C529" s="8"/>
      <c r="D529" s="90"/>
      <c r="E529" s="89"/>
    </row>
    <row r="530" spans="1:5" x14ac:dyDescent="0.25">
      <c r="A530" s="86"/>
      <c r="B530" s="98">
        <f t="shared" si="6"/>
        <v>0</v>
      </c>
      <c r="C530" s="8"/>
      <c r="D530" s="90"/>
      <c r="E530" s="89"/>
    </row>
    <row r="531" spans="1:5" x14ac:dyDescent="0.25">
      <c r="A531" s="86"/>
      <c r="B531" s="98">
        <f t="shared" si="6"/>
        <v>0</v>
      </c>
      <c r="C531" s="8"/>
      <c r="D531" s="90"/>
      <c r="E531" s="89"/>
    </row>
    <row r="532" spans="1:5" x14ac:dyDescent="0.25">
      <c r="A532" s="86"/>
      <c r="B532" s="98">
        <f t="shared" si="6"/>
        <v>0</v>
      </c>
      <c r="C532" s="8"/>
      <c r="D532" s="90"/>
      <c r="E532" s="89"/>
    </row>
    <row r="533" spans="1:5" x14ac:dyDescent="0.25">
      <c r="A533" s="86"/>
      <c r="B533" s="98">
        <f t="shared" si="6"/>
        <v>0</v>
      </c>
      <c r="C533" s="8"/>
      <c r="D533" s="90"/>
      <c r="E533" s="89"/>
    </row>
    <row r="534" spans="1:5" x14ac:dyDescent="0.25">
      <c r="A534" s="86"/>
      <c r="B534" s="98">
        <f t="shared" si="6"/>
        <v>0</v>
      </c>
      <c r="C534" s="8"/>
      <c r="D534" s="90"/>
      <c r="E534" s="89"/>
    </row>
    <row r="535" spans="1:5" x14ac:dyDescent="0.25">
      <c r="A535" s="86"/>
      <c r="B535" s="98">
        <f t="shared" si="6"/>
        <v>0</v>
      </c>
      <c r="C535" s="8"/>
      <c r="D535" s="90"/>
      <c r="E535" s="89"/>
    </row>
    <row r="536" spans="1:5" x14ac:dyDescent="0.25">
      <c r="A536" s="86"/>
      <c r="B536" s="98">
        <f t="shared" si="6"/>
        <v>0</v>
      </c>
      <c r="C536" s="8"/>
      <c r="D536" s="90"/>
      <c r="E536" s="89"/>
    </row>
    <row r="537" spans="1:5" x14ac:dyDescent="0.25">
      <c r="A537" s="86"/>
      <c r="B537" s="98">
        <f t="shared" si="6"/>
        <v>0</v>
      </c>
      <c r="C537" s="8"/>
      <c r="D537" s="90"/>
      <c r="E537" s="89"/>
    </row>
    <row r="538" spans="1:5" x14ac:dyDescent="0.25">
      <c r="A538" s="86"/>
      <c r="B538" s="98">
        <f t="shared" si="6"/>
        <v>0</v>
      </c>
      <c r="C538" s="8"/>
      <c r="D538" s="90"/>
      <c r="E538" s="89"/>
    </row>
    <row r="539" spans="1:5" x14ac:dyDescent="0.25">
      <c r="A539" s="86"/>
      <c r="B539" s="98">
        <f t="shared" si="6"/>
        <v>0</v>
      </c>
      <c r="C539" s="8"/>
      <c r="D539" s="90"/>
      <c r="E539" s="89"/>
    </row>
    <row r="540" spans="1:5" x14ac:dyDescent="0.25">
      <c r="A540" s="86"/>
      <c r="B540" s="98">
        <f t="shared" si="6"/>
        <v>0</v>
      </c>
      <c r="C540" s="8"/>
      <c r="D540" s="90"/>
      <c r="E540" s="89"/>
    </row>
    <row r="541" spans="1:5" x14ac:dyDescent="0.25">
      <c r="A541" s="86"/>
      <c r="B541" s="98">
        <f t="shared" si="6"/>
        <v>0</v>
      </c>
      <c r="C541" s="8"/>
      <c r="D541" s="90"/>
      <c r="E541" s="89"/>
    </row>
    <row r="542" spans="1:5" x14ac:dyDescent="0.25">
      <c r="A542" s="86"/>
      <c r="B542" s="98">
        <f t="shared" si="6"/>
        <v>0</v>
      </c>
      <c r="C542" s="8"/>
      <c r="D542" s="90"/>
      <c r="E542" s="89"/>
    </row>
    <row r="543" spans="1:5" x14ac:dyDescent="0.25">
      <c r="A543" s="86"/>
      <c r="B543" s="98">
        <f t="shared" si="6"/>
        <v>0</v>
      </c>
      <c r="C543" s="8"/>
      <c r="D543" s="90"/>
      <c r="E543" s="89"/>
    </row>
    <row r="544" spans="1:5" x14ac:dyDescent="0.25">
      <c r="A544" s="86"/>
      <c r="B544" s="98">
        <f t="shared" si="6"/>
        <v>0</v>
      </c>
      <c r="C544" s="8"/>
      <c r="D544" s="90"/>
      <c r="E544" s="89"/>
    </row>
    <row r="545" spans="1:5" x14ac:dyDescent="0.25">
      <c r="A545" s="86"/>
      <c r="B545" s="98">
        <f t="shared" si="6"/>
        <v>0</v>
      </c>
      <c r="C545" s="8"/>
      <c r="D545" s="90"/>
      <c r="E545" s="89"/>
    </row>
    <row r="546" spans="1:5" x14ac:dyDescent="0.25">
      <c r="A546" s="86"/>
      <c r="B546" s="98">
        <f t="shared" si="6"/>
        <v>0</v>
      </c>
      <c r="C546" s="8"/>
      <c r="D546" s="90"/>
      <c r="E546" s="89"/>
    </row>
    <row r="547" spans="1:5" x14ac:dyDescent="0.25">
      <c r="A547" s="86"/>
      <c r="B547" s="98">
        <f t="shared" si="6"/>
        <v>0</v>
      </c>
      <c r="C547" s="8"/>
      <c r="D547" s="90"/>
      <c r="E547" s="89"/>
    </row>
    <row r="548" spans="1:5" x14ac:dyDescent="0.25">
      <c r="A548" s="86"/>
      <c r="B548" s="98">
        <f t="shared" si="6"/>
        <v>0</v>
      </c>
      <c r="C548" s="8"/>
      <c r="D548" s="90"/>
      <c r="E548" s="89"/>
    </row>
    <row r="549" spans="1:5" x14ac:dyDescent="0.25">
      <c r="A549" s="86"/>
      <c r="B549" s="98">
        <f t="shared" si="6"/>
        <v>0</v>
      </c>
      <c r="C549" s="8"/>
      <c r="D549" s="90"/>
      <c r="E549" s="89"/>
    </row>
    <row r="550" spans="1:5" x14ac:dyDescent="0.25">
      <c r="A550" s="86"/>
      <c r="B550" s="98">
        <f t="shared" si="6"/>
        <v>0</v>
      </c>
      <c r="C550" s="8"/>
      <c r="D550" s="90"/>
      <c r="E550" s="89"/>
    </row>
    <row r="551" spans="1:5" x14ac:dyDescent="0.25">
      <c r="A551" s="86"/>
      <c r="B551" s="98">
        <f t="shared" si="6"/>
        <v>0</v>
      </c>
      <c r="C551" s="8"/>
      <c r="D551" s="90"/>
      <c r="E551" s="89"/>
    </row>
    <row r="552" spans="1:5" x14ac:dyDescent="0.25">
      <c r="A552" s="86"/>
      <c r="B552" s="98">
        <f t="shared" si="6"/>
        <v>0</v>
      </c>
      <c r="C552" s="8"/>
      <c r="D552" s="90"/>
      <c r="E552" s="89"/>
    </row>
    <row r="553" spans="1:5" x14ac:dyDescent="0.25">
      <c r="A553" s="86"/>
      <c r="B553" s="98">
        <f t="shared" si="6"/>
        <v>0</v>
      </c>
      <c r="C553" s="8"/>
      <c r="D553" s="90"/>
      <c r="E553" s="89"/>
    </row>
    <row r="554" spans="1:5" x14ac:dyDescent="0.25">
      <c r="A554" s="86"/>
      <c r="B554" s="98">
        <f t="shared" ref="B554:B617" si="7">WEEKNUM(A554,1)</f>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si="7"/>
        <v>0</v>
      </c>
      <c r="C591" s="8"/>
      <c r="D591" s="90"/>
      <c r="E591" s="89"/>
    </row>
    <row r="592" spans="1:5" x14ac:dyDescent="0.25">
      <c r="A592" s="86"/>
      <c r="B592" s="98">
        <f t="shared" si="7"/>
        <v>0</v>
      </c>
      <c r="C592" s="8"/>
      <c r="D592" s="90"/>
      <c r="E592" s="89"/>
    </row>
    <row r="593" spans="1:5" x14ac:dyDescent="0.25">
      <c r="A593" s="86"/>
      <c r="B593" s="98">
        <f t="shared" si="7"/>
        <v>0</v>
      </c>
      <c r="C593" s="8"/>
      <c r="D593" s="90"/>
      <c r="E593" s="89"/>
    </row>
    <row r="594" spans="1:5" x14ac:dyDescent="0.25">
      <c r="A594" s="86"/>
      <c r="B594" s="98">
        <f t="shared" si="7"/>
        <v>0</v>
      </c>
      <c r="C594" s="8"/>
      <c r="D594" s="90"/>
      <c r="E594" s="89"/>
    </row>
    <row r="595" spans="1:5" x14ac:dyDescent="0.25">
      <c r="A595" s="86"/>
      <c r="B595" s="98">
        <f t="shared" si="7"/>
        <v>0</v>
      </c>
      <c r="C595" s="8"/>
      <c r="D595" s="90"/>
      <c r="E595" s="89"/>
    </row>
    <row r="596" spans="1:5" x14ac:dyDescent="0.25">
      <c r="A596" s="86"/>
      <c r="B596" s="98">
        <f t="shared" si="7"/>
        <v>0</v>
      </c>
      <c r="C596" s="8"/>
      <c r="D596" s="90"/>
      <c r="E596" s="89"/>
    </row>
    <row r="597" spans="1:5" x14ac:dyDescent="0.25">
      <c r="A597" s="86"/>
      <c r="B597" s="98">
        <f t="shared" si="7"/>
        <v>0</v>
      </c>
      <c r="C597" s="8"/>
      <c r="D597" s="90"/>
      <c r="E597" s="89"/>
    </row>
    <row r="598" spans="1:5" x14ac:dyDescent="0.25">
      <c r="A598" s="86"/>
      <c r="B598" s="98">
        <f t="shared" si="7"/>
        <v>0</v>
      </c>
      <c r="C598" s="8"/>
      <c r="D598" s="90"/>
      <c r="E598" s="89"/>
    </row>
    <row r="599" spans="1:5" x14ac:dyDescent="0.25">
      <c r="A599" s="86"/>
      <c r="B599" s="98">
        <f t="shared" si="7"/>
        <v>0</v>
      </c>
      <c r="C599" s="8"/>
      <c r="D599" s="90"/>
      <c r="E599" s="89"/>
    </row>
    <row r="600" spans="1:5" x14ac:dyDescent="0.25">
      <c r="A600" s="86"/>
      <c r="B600" s="98">
        <f t="shared" si="7"/>
        <v>0</v>
      </c>
      <c r="C600" s="8"/>
      <c r="D600" s="90"/>
      <c r="E600" s="89"/>
    </row>
    <row r="601" spans="1:5" x14ac:dyDescent="0.25">
      <c r="A601" s="86"/>
      <c r="B601" s="98">
        <f t="shared" si="7"/>
        <v>0</v>
      </c>
      <c r="C601" s="8"/>
      <c r="D601" s="90"/>
      <c r="E601" s="89"/>
    </row>
    <row r="602" spans="1:5" x14ac:dyDescent="0.25">
      <c r="A602" s="86"/>
      <c r="B602" s="98">
        <f t="shared" si="7"/>
        <v>0</v>
      </c>
      <c r="C602" s="8"/>
      <c r="D602" s="90"/>
      <c r="E602" s="89"/>
    </row>
    <row r="603" spans="1:5" x14ac:dyDescent="0.25">
      <c r="A603" s="86"/>
      <c r="B603" s="98">
        <f t="shared" si="7"/>
        <v>0</v>
      </c>
      <c r="C603" s="8"/>
      <c r="D603" s="90"/>
      <c r="E603" s="89"/>
    </row>
    <row r="604" spans="1:5" x14ac:dyDescent="0.25">
      <c r="A604" s="86"/>
      <c r="B604" s="98">
        <f t="shared" si="7"/>
        <v>0</v>
      </c>
      <c r="C604" s="8"/>
      <c r="D604" s="90"/>
      <c r="E604" s="89"/>
    </row>
    <row r="605" spans="1:5" x14ac:dyDescent="0.25">
      <c r="A605" s="86"/>
      <c r="B605" s="98">
        <f t="shared" si="7"/>
        <v>0</v>
      </c>
      <c r="C605" s="8"/>
      <c r="D605" s="90"/>
      <c r="E605" s="89"/>
    </row>
    <row r="606" spans="1:5" x14ac:dyDescent="0.25">
      <c r="A606" s="86"/>
      <c r="B606" s="98">
        <f t="shared" si="7"/>
        <v>0</v>
      </c>
      <c r="C606" s="8"/>
      <c r="D606" s="90"/>
      <c r="E606" s="89"/>
    </row>
    <row r="607" spans="1:5" x14ac:dyDescent="0.25">
      <c r="A607" s="86"/>
      <c r="B607" s="98">
        <f t="shared" si="7"/>
        <v>0</v>
      </c>
      <c r="C607" s="8"/>
      <c r="D607" s="90"/>
      <c r="E607" s="89"/>
    </row>
    <row r="608" spans="1:5" x14ac:dyDescent="0.25">
      <c r="A608" s="86"/>
      <c r="B608" s="98">
        <f t="shared" si="7"/>
        <v>0</v>
      </c>
      <c r="C608" s="8"/>
      <c r="D608" s="90"/>
      <c r="E608" s="89"/>
    </row>
    <row r="609" spans="1:5" x14ac:dyDescent="0.25">
      <c r="A609" s="86"/>
      <c r="B609" s="98">
        <f t="shared" si="7"/>
        <v>0</v>
      </c>
      <c r="C609" s="8"/>
      <c r="D609" s="90"/>
      <c r="E609" s="89"/>
    </row>
    <row r="610" spans="1:5" x14ac:dyDescent="0.25">
      <c r="A610" s="86"/>
      <c r="B610" s="98">
        <f t="shared" si="7"/>
        <v>0</v>
      </c>
      <c r="C610" s="8"/>
      <c r="D610" s="90"/>
      <c r="E610" s="89"/>
    </row>
    <row r="611" spans="1:5" x14ac:dyDescent="0.25">
      <c r="A611" s="86"/>
      <c r="B611" s="98">
        <f t="shared" si="7"/>
        <v>0</v>
      </c>
      <c r="C611" s="8"/>
      <c r="D611" s="90"/>
      <c r="E611" s="89"/>
    </row>
    <row r="612" spans="1:5" x14ac:dyDescent="0.25">
      <c r="A612" s="86"/>
      <c r="B612" s="98">
        <f t="shared" si="7"/>
        <v>0</v>
      </c>
      <c r="C612" s="8"/>
      <c r="D612" s="90"/>
      <c r="E612" s="89"/>
    </row>
    <row r="613" spans="1:5" x14ac:dyDescent="0.25">
      <c r="A613" s="86"/>
      <c r="B613" s="98">
        <f t="shared" si="7"/>
        <v>0</v>
      </c>
      <c r="C613" s="8"/>
      <c r="D613" s="90"/>
      <c r="E613" s="89"/>
    </row>
    <row r="614" spans="1:5" x14ac:dyDescent="0.25">
      <c r="A614" s="86"/>
      <c r="B614" s="98">
        <f t="shared" si="7"/>
        <v>0</v>
      </c>
      <c r="C614" s="8"/>
      <c r="D614" s="90"/>
      <c r="E614" s="89"/>
    </row>
    <row r="615" spans="1:5" x14ac:dyDescent="0.25">
      <c r="A615" s="86"/>
      <c r="B615" s="98">
        <f t="shared" si="7"/>
        <v>0</v>
      </c>
      <c r="C615" s="8"/>
      <c r="D615" s="90"/>
      <c r="E615" s="89"/>
    </row>
    <row r="616" spans="1:5" x14ac:dyDescent="0.25">
      <c r="A616" s="86"/>
      <c r="B616" s="98">
        <f t="shared" si="7"/>
        <v>0</v>
      </c>
      <c r="C616" s="8"/>
      <c r="D616" s="90"/>
      <c r="E616" s="89"/>
    </row>
    <row r="617" spans="1:5" x14ac:dyDescent="0.25">
      <c r="A617" s="86"/>
      <c r="B617" s="98">
        <f t="shared" si="7"/>
        <v>0</v>
      </c>
      <c r="C617" s="8"/>
      <c r="D617" s="90"/>
      <c r="E617" s="89"/>
    </row>
    <row r="618" spans="1:5" x14ac:dyDescent="0.25">
      <c r="A618" s="86"/>
      <c r="B618" s="98">
        <f t="shared" ref="B618:B681" si="8">WEEKNUM(A618,1)</f>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si="8"/>
        <v>0</v>
      </c>
      <c r="C655" s="8"/>
      <c r="D655" s="90"/>
      <c r="E655" s="89"/>
    </row>
    <row r="656" spans="1:5" x14ac:dyDescent="0.25">
      <c r="A656" s="86"/>
      <c r="B656" s="98">
        <f t="shared" si="8"/>
        <v>0</v>
      </c>
      <c r="C656" s="8"/>
      <c r="D656" s="90"/>
      <c r="E656" s="89"/>
    </row>
    <row r="657" spans="1:5" x14ac:dyDescent="0.25">
      <c r="A657" s="86"/>
      <c r="B657" s="98">
        <f t="shared" si="8"/>
        <v>0</v>
      </c>
      <c r="C657" s="8"/>
      <c r="D657" s="90"/>
      <c r="E657" s="89"/>
    </row>
    <row r="658" spans="1:5" x14ac:dyDescent="0.25">
      <c r="A658" s="86"/>
      <c r="B658" s="98">
        <f t="shared" si="8"/>
        <v>0</v>
      </c>
      <c r="C658" s="8"/>
      <c r="D658" s="90"/>
      <c r="E658" s="89"/>
    </row>
    <row r="659" spans="1:5" x14ac:dyDescent="0.25">
      <c r="A659" s="86"/>
      <c r="B659" s="98">
        <f t="shared" si="8"/>
        <v>0</v>
      </c>
      <c r="C659" s="8"/>
      <c r="D659" s="90"/>
      <c r="E659" s="89"/>
    </row>
    <row r="660" spans="1:5" x14ac:dyDescent="0.25">
      <c r="A660" s="86"/>
      <c r="B660" s="98">
        <f t="shared" si="8"/>
        <v>0</v>
      </c>
      <c r="C660" s="8"/>
      <c r="D660" s="90"/>
      <c r="E660" s="89"/>
    </row>
    <row r="661" spans="1:5" x14ac:dyDescent="0.25">
      <c r="A661" s="86"/>
      <c r="B661" s="98">
        <f t="shared" si="8"/>
        <v>0</v>
      </c>
      <c r="C661" s="8"/>
      <c r="D661" s="90"/>
      <c r="E661" s="89"/>
    </row>
    <row r="662" spans="1:5" x14ac:dyDescent="0.25">
      <c r="A662" s="86"/>
      <c r="B662" s="98">
        <f t="shared" si="8"/>
        <v>0</v>
      </c>
      <c r="C662" s="8"/>
      <c r="D662" s="90"/>
      <c r="E662" s="89"/>
    </row>
    <row r="663" spans="1:5" x14ac:dyDescent="0.25">
      <c r="A663" s="86"/>
      <c r="B663" s="98">
        <f t="shared" si="8"/>
        <v>0</v>
      </c>
      <c r="C663" s="8"/>
      <c r="D663" s="90"/>
      <c r="E663" s="89"/>
    </row>
    <row r="664" spans="1:5" x14ac:dyDescent="0.25">
      <c r="A664" s="86"/>
      <c r="B664" s="98">
        <f t="shared" si="8"/>
        <v>0</v>
      </c>
      <c r="C664" s="8"/>
      <c r="D664" s="90"/>
      <c r="E664" s="89"/>
    </row>
    <row r="665" spans="1:5" x14ac:dyDescent="0.25">
      <c r="A665" s="86"/>
      <c r="B665" s="98">
        <f t="shared" si="8"/>
        <v>0</v>
      </c>
      <c r="C665" s="8"/>
      <c r="D665" s="90"/>
      <c r="E665" s="89"/>
    </row>
    <row r="666" spans="1:5" x14ac:dyDescent="0.25">
      <c r="A666" s="86"/>
      <c r="B666" s="98">
        <f t="shared" si="8"/>
        <v>0</v>
      </c>
      <c r="C666" s="8"/>
      <c r="D666" s="90"/>
      <c r="E666" s="89"/>
    </row>
    <row r="667" spans="1:5" x14ac:dyDescent="0.25">
      <c r="A667" s="86"/>
      <c r="B667" s="98">
        <f t="shared" si="8"/>
        <v>0</v>
      </c>
      <c r="C667" s="8"/>
      <c r="D667" s="90"/>
      <c r="E667" s="89"/>
    </row>
    <row r="668" spans="1:5" x14ac:dyDescent="0.25">
      <c r="A668" s="86"/>
      <c r="B668" s="98">
        <f t="shared" si="8"/>
        <v>0</v>
      </c>
      <c r="C668" s="8"/>
      <c r="D668" s="90"/>
      <c r="E668" s="89"/>
    </row>
    <row r="669" spans="1:5" x14ac:dyDescent="0.25">
      <c r="A669" s="86"/>
      <c r="B669" s="98">
        <f t="shared" si="8"/>
        <v>0</v>
      </c>
      <c r="C669" s="8"/>
      <c r="D669" s="90"/>
      <c r="E669" s="89"/>
    </row>
    <row r="670" spans="1:5" x14ac:dyDescent="0.25">
      <c r="A670" s="86"/>
      <c r="B670" s="98">
        <f t="shared" si="8"/>
        <v>0</v>
      </c>
      <c r="C670" s="8"/>
      <c r="D670" s="90"/>
      <c r="E670" s="89"/>
    </row>
    <row r="671" spans="1:5" x14ac:dyDescent="0.25">
      <c r="A671" s="86"/>
      <c r="B671" s="98">
        <f t="shared" si="8"/>
        <v>0</v>
      </c>
      <c r="C671" s="8"/>
      <c r="D671" s="90"/>
      <c r="E671" s="89"/>
    </row>
    <row r="672" spans="1:5" x14ac:dyDescent="0.25">
      <c r="A672" s="86"/>
      <c r="B672" s="98">
        <f t="shared" si="8"/>
        <v>0</v>
      </c>
      <c r="C672" s="8"/>
      <c r="D672" s="90"/>
      <c r="E672" s="89"/>
    </row>
    <row r="673" spans="1:5" x14ac:dyDescent="0.25">
      <c r="A673" s="86"/>
      <c r="B673" s="98">
        <f t="shared" si="8"/>
        <v>0</v>
      </c>
      <c r="C673" s="8"/>
      <c r="D673" s="90"/>
      <c r="E673" s="89"/>
    </row>
    <row r="674" spans="1:5" x14ac:dyDescent="0.25">
      <c r="A674" s="86"/>
      <c r="B674" s="98">
        <f t="shared" si="8"/>
        <v>0</v>
      </c>
      <c r="C674" s="8"/>
      <c r="D674" s="90"/>
      <c r="E674" s="89"/>
    </row>
    <row r="675" spans="1:5" x14ac:dyDescent="0.25">
      <c r="A675" s="86"/>
      <c r="B675" s="98">
        <f t="shared" si="8"/>
        <v>0</v>
      </c>
      <c r="C675" s="8"/>
      <c r="D675" s="90"/>
      <c r="E675" s="89"/>
    </row>
    <row r="676" spans="1:5" x14ac:dyDescent="0.25">
      <c r="A676" s="86"/>
      <c r="B676" s="98">
        <f t="shared" si="8"/>
        <v>0</v>
      </c>
      <c r="C676" s="8"/>
      <c r="D676" s="90"/>
      <c r="E676" s="89"/>
    </row>
    <row r="677" spans="1:5" x14ac:dyDescent="0.25">
      <c r="A677" s="86"/>
      <c r="B677" s="98">
        <f t="shared" si="8"/>
        <v>0</v>
      </c>
      <c r="C677" s="8"/>
      <c r="D677" s="90"/>
      <c r="E677" s="89"/>
    </row>
    <row r="678" spans="1:5" x14ac:dyDescent="0.25">
      <c r="A678" s="86"/>
      <c r="B678" s="98">
        <f t="shared" si="8"/>
        <v>0</v>
      </c>
      <c r="C678" s="8"/>
      <c r="D678" s="90"/>
      <c r="E678" s="89"/>
    </row>
    <row r="679" spans="1:5" x14ac:dyDescent="0.25">
      <c r="A679" s="86"/>
      <c r="B679" s="98">
        <f t="shared" si="8"/>
        <v>0</v>
      </c>
      <c r="C679" s="8"/>
      <c r="D679" s="90"/>
      <c r="E679" s="89"/>
    </row>
    <row r="680" spans="1:5" x14ac:dyDescent="0.25">
      <c r="A680" s="86"/>
      <c r="B680" s="98">
        <f t="shared" si="8"/>
        <v>0</v>
      </c>
      <c r="C680" s="8"/>
      <c r="D680" s="90"/>
      <c r="E680" s="89"/>
    </row>
    <row r="681" spans="1:5" x14ac:dyDescent="0.25">
      <c r="A681" s="86"/>
      <c r="B681" s="98">
        <f t="shared" si="8"/>
        <v>0</v>
      </c>
      <c r="C681" s="8"/>
      <c r="D681" s="90"/>
      <c r="E681" s="89"/>
    </row>
    <row r="682" spans="1:5" x14ac:dyDescent="0.25">
      <c r="A682" s="86"/>
      <c r="B682" s="98">
        <f t="shared" ref="B682:B732" si="9">WEEKNUM(A682,1)</f>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row r="706" spans="1:5" x14ac:dyDescent="0.25">
      <c r="A706" s="86"/>
      <c r="B706" s="98">
        <f t="shared" si="9"/>
        <v>0</v>
      </c>
      <c r="C706" s="8"/>
      <c r="D706" s="90"/>
      <c r="E706" s="89"/>
    </row>
    <row r="707" spans="1:5" x14ac:dyDescent="0.25">
      <c r="A707" s="86"/>
      <c r="B707" s="98">
        <f t="shared" si="9"/>
        <v>0</v>
      </c>
      <c r="C707" s="8"/>
      <c r="D707" s="90"/>
      <c r="E707" s="89"/>
    </row>
    <row r="708" spans="1:5" x14ac:dyDescent="0.25">
      <c r="A708" s="86"/>
      <c r="B708" s="98">
        <f t="shared" si="9"/>
        <v>0</v>
      </c>
      <c r="C708" s="8"/>
      <c r="D708" s="90"/>
      <c r="E708" s="89"/>
    </row>
    <row r="709" spans="1:5" x14ac:dyDescent="0.25">
      <c r="A709" s="86"/>
      <c r="B709" s="98">
        <f t="shared" si="9"/>
        <v>0</v>
      </c>
      <c r="C709" s="8"/>
      <c r="D709" s="90"/>
      <c r="E709" s="89"/>
    </row>
    <row r="710" spans="1:5" x14ac:dyDescent="0.25">
      <c r="A710" s="86"/>
      <c r="B710" s="98">
        <f t="shared" si="9"/>
        <v>0</v>
      </c>
      <c r="C710" s="8"/>
      <c r="D710" s="90"/>
      <c r="E710" s="89"/>
    </row>
    <row r="711" spans="1:5" x14ac:dyDescent="0.25">
      <c r="A711" s="86"/>
      <c r="B711" s="98">
        <f t="shared" si="9"/>
        <v>0</v>
      </c>
      <c r="C711" s="8"/>
      <c r="D711" s="90"/>
      <c r="E711" s="89"/>
    </row>
    <row r="712" spans="1:5" x14ac:dyDescent="0.25">
      <c r="A712" s="86"/>
      <c r="B712" s="98">
        <f t="shared" si="9"/>
        <v>0</v>
      </c>
      <c r="C712" s="8"/>
      <c r="D712" s="90"/>
      <c r="E712" s="89"/>
    </row>
    <row r="713" spans="1:5" x14ac:dyDescent="0.25">
      <c r="A713" s="86"/>
      <c r="B713" s="98">
        <f t="shared" si="9"/>
        <v>0</v>
      </c>
      <c r="C713" s="8"/>
      <c r="D713" s="90"/>
      <c r="E713" s="89"/>
    </row>
    <row r="714" spans="1:5" x14ac:dyDescent="0.25">
      <c r="A714" s="86"/>
      <c r="B714" s="98">
        <f t="shared" si="9"/>
        <v>0</v>
      </c>
      <c r="C714" s="8"/>
      <c r="D714" s="90"/>
      <c r="E714" s="89"/>
    </row>
    <row r="715" spans="1:5" x14ac:dyDescent="0.25">
      <c r="A715" s="86"/>
      <c r="B715" s="98">
        <f t="shared" si="9"/>
        <v>0</v>
      </c>
      <c r="C715" s="8"/>
      <c r="D715" s="90"/>
      <c r="E715" s="89"/>
    </row>
    <row r="716" spans="1:5" x14ac:dyDescent="0.25">
      <c r="A716" s="86"/>
      <c r="B716" s="98">
        <f t="shared" si="9"/>
        <v>0</v>
      </c>
      <c r="C716" s="8"/>
      <c r="D716" s="90"/>
      <c r="E716" s="89"/>
    </row>
    <row r="717" spans="1:5" x14ac:dyDescent="0.25">
      <c r="A717" s="86"/>
      <c r="B717" s="98">
        <f t="shared" si="9"/>
        <v>0</v>
      </c>
      <c r="C717" s="8"/>
      <c r="D717" s="90"/>
      <c r="E717" s="89"/>
    </row>
    <row r="718" spans="1:5" x14ac:dyDescent="0.25">
      <c r="A718" s="86"/>
      <c r="B718" s="98">
        <f t="shared" si="9"/>
        <v>0</v>
      </c>
      <c r="C718" s="8"/>
      <c r="D718" s="90"/>
      <c r="E718" s="89"/>
    </row>
    <row r="719" spans="1:5" x14ac:dyDescent="0.25">
      <c r="A719" s="86"/>
      <c r="B719" s="98">
        <f t="shared" si="9"/>
        <v>0</v>
      </c>
      <c r="C719" s="8"/>
      <c r="D719" s="90"/>
      <c r="E719" s="89"/>
    </row>
    <row r="720" spans="1:5" x14ac:dyDescent="0.25">
      <c r="A720" s="86"/>
      <c r="B720" s="98">
        <f t="shared" si="9"/>
        <v>0</v>
      </c>
      <c r="C720" s="8"/>
      <c r="D720" s="90"/>
      <c r="E720" s="89"/>
    </row>
    <row r="721" spans="1:5" x14ac:dyDescent="0.25">
      <c r="A721" s="86"/>
      <c r="B721" s="98">
        <f t="shared" si="9"/>
        <v>0</v>
      </c>
      <c r="C721" s="8"/>
      <c r="D721" s="90"/>
      <c r="E721" s="89"/>
    </row>
    <row r="722" spans="1:5" x14ac:dyDescent="0.25">
      <c r="A722" s="86"/>
      <c r="B722" s="98">
        <f t="shared" si="9"/>
        <v>0</v>
      </c>
      <c r="C722" s="8"/>
      <c r="D722" s="90"/>
      <c r="E722" s="89"/>
    </row>
    <row r="723" spans="1:5" x14ac:dyDescent="0.25">
      <c r="A723" s="86"/>
      <c r="B723" s="98">
        <f t="shared" si="9"/>
        <v>0</v>
      </c>
      <c r="C723" s="8"/>
      <c r="D723" s="90"/>
      <c r="E723" s="89"/>
    </row>
    <row r="724" spans="1:5" x14ac:dyDescent="0.25">
      <c r="A724" s="86"/>
      <c r="B724" s="98">
        <f t="shared" si="9"/>
        <v>0</v>
      </c>
      <c r="C724" s="8"/>
      <c r="D724" s="90"/>
      <c r="E724" s="89"/>
    </row>
    <row r="725" spans="1:5" x14ac:dyDescent="0.25">
      <c r="A725" s="86"/>
      <c r="B725" s="98">
        <f t="shared" si="9"/>
        <v>0</v>
      </c>
      <c r="C725" s="8"/>
      <c r="D725" s="90"/>
      <c r="E725" s="89"/>
    </row>
    <row r="726" spans="1:5" x14ac:dyDescent="0.25">
      <c r="A726" s="86"/>
      <c r="B726" s="98">
        <f t="shared" si="9"/>
        <v>0</v>
      </c>
      <c r="C726" s="8"/>
      <c r="D726" s="90"/>
      <c r="E726" s="89"/>
    </row>
    <row r="727" spans="1:5" x14ac:dyDescent="0.25">
      <c r="A727" s="86"/>
      <c r="B727" s="98">
        <f t="shared" si="9"/>
        <v>0</v>
      </c>
      <c r="C727" s="8"/>
      <c r="D727" s="90"/>
      <c r="E727" s="89"/>
    </row>
    <row r="728" spans="1:5" x14ac:dyDescent="0.25">
      <c r="A728" s="86"/>
      <c r="B728" s="98">
        <f t="shared" si="9"/>
        <v>0</v>
      </c>
      <c r="C728" s="8"/>
      <c r="D728" s="90"/>
      <c r="E728" s="89"/>
    </row>
    <row r="729" spans="1:5" x14ac:dyDescent="0.25">
      <c r="A729" s="86"/>
      <c r="B729" s="98">
        <f t="shared" si="9"/>
        <v>0</v>
      </c>
      <c r="C729" s="8"/>
      <c r="D729" s="90"/>
      <c r="E729" s="89"/>
    </row>
    <row r="730" spans="1:5" x14ac:dyDescent="0.25">
      <c r="A730" s="86"/>
      <c r="B730" s="98">
        <f t="shared" si="9"/>
        <v>0</v>
      </c>
      <c r="C730" s="8"/>
      <c r="D730" s="90"/>
      <c r="E730" s="89"/>
    </row>
    <row r="731" spans="1:5" x14ac:dyDescent="0.25">
      <c r="A731" s="86"/>
      <c r="B731" s="98">
        <f t="shared" si="9"/>
        <v>0</v>
      </c>
      <c r="C731" s="8"/>
      <c r="D731" s="90"/>
      <c r="E731" s="89"/>
    </row>
    <row r="732" spans="1:5" x14ac:dyDescent="0.25">
      <c r="A732" s="86"/>
      <c r="B732" s="98">
        <f t="shared" si="9"/>
        <v>0</v>
      </c>
      <c r="C732" s="8"/>
      <c r="D732" s="90"/>
      <c r="E732"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C5:C732</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2023-05-25T14:38:40Z</dcterms:modified>
</cp:coreProperties>
</file>