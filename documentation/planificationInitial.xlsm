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1"/>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1" l="1"/>
  <c r="F4" i="1" l="1"/>
  <c r="D4" i="1"/>
  <c r="N56" i="1"/>
  <c r="N54" i="1"/>
  <c r="C57" i="1"/>
  <c r="C56" i="1"/>
  <c r="B4" i="1" l="1"/>
  <c r="N22" i="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J57" i="1" l="1"/>
  <c r="L57" i="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F55" i="1"/>
  <c r="D53" i="1"/>
  <c r="F31" i="1"/>
  <c r="D35" i="1"/>
  <c r="D45" i="1"/>
  <c r="F17" i="1"/>
  <c r="F45" i="1"/>
  <c r="D55" i="1"/>
  <c r="F13" i="1"/>
  <c r="F53" i="1"/>
  <c r="F15" i="1"/>
  <c r="F23" i="1"/>
  <c r="D37" i="1"/>
  <c r="D47" i="1"/>
  <c r="D51" i="1"/>
  <c r="H23" i="1"/>
  <c r="H25" i="1"/>
  <c r="H53" i="1"/>
  <c r="H37" i="1"/>
  <c r="H3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J51" i="1"/>
  <c r="L51"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<sst xmlns="http://schemas.openxmlformats.org/spreadsheetml/2006/main" count="267" uniqueCount="181">
  <si>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</si>
  <si>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</si>
  <si>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</si>
  <si>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</si>
  <si>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</si>
  <si>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</si>
  <si>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</si>
  <si>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</si>
  <si>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</si>
  <si>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</si>
  <si>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</si>
  <si>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</si>
  <si>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</si>
  <si>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</si>
  <si>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</si>
  <si>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</si>
  <si>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</si>
  <si>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</si>
  <si>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</si>
  <si>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</si>
  <si>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</si>
  <si>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</si>
  <si>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</si>
  <si>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</si>
  <si>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</si>
  <si>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</si>
  <si>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</si>
  <si>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</si>
  <si>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</si>
  <si>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</si>
  <si>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</si>
  <si>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</si>
  <si>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</si>
  <si>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</si>
  <si>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</si>
  <si>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</si>
  <si>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</si>
  <si>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</si>
  <si>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</si>
  <si>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</si>
  <si>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</si>
  <si>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</si>
  <si>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</si>
  <si>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</si>
  <si>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</si>
  <si>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</si>
  <si>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</si>
  <si>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</si>
  <si>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</si>
  <si>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</si>
  <si>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</si>
  <si>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</si>
  <si>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</si>
  <si>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</si>
  <si>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</si>
  <si>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</si>
  <si>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</si>
  <si>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</si>
  <si>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</si>
  <si>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</si>
  <si>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</si>
  <si>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</si>
  <si>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</si>
  <si>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</si>
  <si>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</si>
  <si>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</si>
  <si>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</si>
  <si>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</si>
  <si>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</si>
  <si>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</si>
  <si>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</si>
  <si>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</si>
  <si>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</si>
  <si>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</si>
  <si>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</si>
  <si>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</si>
  <si>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</si>
  <si>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</si>
  <si>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</si>
  <si>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</si>
  <si>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</si>
  <si>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</si>
  <si>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</si>
  <si>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</si>
  <si>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</si>
  <si>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</si>
  <si>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</si>
  <si>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</si>
  <si>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</si>
  <si>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</si>
  <si>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</si>
  <si>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</si>
  <si>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</si>
  <si>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</si>
  <si>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</si>
  <si>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</si>
  <si>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</si>
  <si>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</si>
  <si>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</si>
  <si>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</si>
  <si>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</si>
  <si>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</si>
  <si>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</si>
  <si>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</si>
  <si>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</si>
  <si>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</si>
  <si>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</si>
  <si>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</si>
  <si>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</si>
  <si>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</si>
  <si>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</si>
  <si>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</si>
  <si>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</si>
  <si>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</si>
  <si>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</si>
  <si>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</si>
  <si>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</si>
  <si>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</si>
  <si>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</si>
  <si>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</si>
  <si>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</si>
  <si>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</si>
  <si>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</si>
  <si>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</si>
  <si>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</si>
  <si>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</si>
  <si>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</si>
  <si>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</si>
  <si>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</si>
  <si>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</si>
  <si>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</si>
  <si>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</si>
  <si>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</si>
  <si>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</si>
  <si>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</si>
  <si>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</si>
  <si>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</si>
  <si>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</si>
  <si>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</si>
  <si>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</si>
  <si>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</si>
  <si>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</si>
  <si>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</si>
  <si>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</si>
  <si>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</si>
  <si>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</si>
  <si>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</si>
  <si>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</si>
  <si>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</si>
  <si>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</si>
  <si>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</si>
  <si>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</si>
  <si>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</si>
  <si>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</si>
  <si>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</si>
  <si>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</si>
  <si>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</si>
  <si>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</si>
  <si>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</si>
  <si>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</si>
  <si>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</si>
  <si>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</si>
  <si>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</si>
  <si>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</si>
  <si>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</si>
  <si>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</si>
  <si>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</si>
  <si>
    <t>réalisation des tests système et finalisation des tests unitaire</t>
  </si>
  <si>
    <t>partie réalisation, tous les tests + dossier de réalisation, changement des titres de la maquette</t>
  </si>
  <si>
    <t>script insértion de données</t>
  </si>
  <si>
    <t>09h50-12h15</t>
  </si>
  <si>
    <t>création du script avec des données à insérer</t>
  </si>
  <si>
    <t>correction d'un bug avec le login qui marchait plus avec les nouvelles données insérer</t>
  </si>
  <si>
    <t>list des documents fournis mise en forme des images maquette, mise en forme général du rapport</t>
  </si>
  <si>
    <t>le test getList n'était pas utile car elle pouvait être intégrer à AddDeleteGetListWordTest ce qui permet de pouvoir modifier la liste de storage place sans faire un échec dans le teste</t>
  </si>
  <si>
    <t>écriture des commentaires et effacer des doublons maintenant je touche plus au code et les tests sont toujoours fonctionnel</t>
  </si>
  <si>
    <t>13h30-16h30</t>
  </si>
  <si>
    <t>erreurs retantes, sources, anuel d'utilisation, MCD</t>
  </si>
  <si>
    <t>16h30-16h55</t>
  </si>
  <si>
    <t>mail + journal de travail</t>
  </si>
  <si>
    <t>08h00-12h00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</si>
</sst>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tabSelected="1" topLeftCell="A10" zoomScale="70" zoomScaleNormal="70" zoomScalePageLayoutView="70" workbookViewId="0">
      <selection activeCell="A52" sqref="A52"/>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2.4548611111111112</v>
      </c>
      <c r="D4" s="4">
        <f>D9+D11+D13+D15+D17+D21+D23+D29+D25+D31+D33+D57</f>
        <v>0.7777777777777779</v>
      </c>
      <c r="E4" s="2"/>
      <c r="F4" s="4">
        <f>F33+F35+F37+F39+F43+F47+F51+F57</f>
        <v>1.0069444444444444</v>
      </c>
      <c r="G4" s="3"/>
      <c r="H4" s="4">
        <f>H39+H43+H45+H51+H57</f>
        <v>0.67013888888888895</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SUMIFS(Journal!$D$5:$D$9969,Journal!$B$5:$B$9969,J$5,Journal!$C$5:$C$9969,$B8)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SUMIFS(Journal!$D$5:$D$9969,Journal!$B$5:$B$9969,H$5,Journal!$C$5:$C$9969,$B10)</f>
        <v>0</v>
      </c>
      <c r="I11" s="60"/>
      <c r="J11" s="58"/>
      <c r="K11" s="60"/>
      <c r="L11" s="58">
        <f>SUMIFS(Journal!$D$5:$D$9969,Journal!$B$5:$B$9969,L$5,Journal!$C$5:$C$9969,$B10)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SUMIFS(Journal!$D$5:$D$9969,Journal!$B$5:$B$9969,F$5,Journal!$C$5:$C$9969,$B12)</f>
        <v>0</v>
      </c>
      <c r="G13" s="59"/>
      <c r="H13" s="58">
        <f>SUMIFS(Journal!$D$5:$D$9969,Journal!$B$5:$B$9969,H$5,Journal!$C$5:$C$9969,$B12)</f>
        <v>0</v>
      </c>
      <c r="I13" s="60"/>
      <c r="J13" s="58">
        <f>SUMIFS(Journal!$D$5:$D$9969,Journal!$B$5:$B$9969,J$5,Journal!$C$5:$C$9969,$B12)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SUMIFS(Journal!$D$5:$D$9969,Journal!$B$5:$B$9969,F$5,Journal!$C$5:$C$9969,$B14)</f>
        <v>0</v>
      </c>
      <c r="G15" s="59"/>
      <c r="H15" s="58">
        <f>SUMIFS(Journal!$D$5:$D$9969,Journal!$B$5:$B$9969,H$5,Journal!$C$5:$C$9969,$B14)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SUMIFS(Journal!$D$5:$D$9969,Journal!$B$5:$B$9969,F$5,Journal!$C$5:$C$9969,$B16)</f>
        <v>0</v>
      </c>
      <c r="G17" s="59"/>
      <c r="H17" s="58">
        <f>SUMIFS(Journal!$D$5:$D$9969,Journal!$B$5:$B$9969,H$5,Journal!$C$5:$C$9969,$B16)</f>
        <v>0</v>
      </c>
      <c r="I17" s="60"/>
      <c r="J17" s="58"/>
      <c r="K17" s="60"/>
      <c r="L17" s="58">
        <f>SUMIFS(Journal!$D$5:$D$9969,Journal!$B$5:$B$9969,L$5,Journal!$C$5:$C$9969,$B16)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SUMIFS(Journal!$D$5:$D$9969,Journal!$B$5:$B$9969,F$5,Journal!$C$5:$C$9969,$B20)</f>
        <v>0</v>
      </c>
      <c r="G21" s="59"/>
      <c r="H21" s="58">
        <f>SUMIFS(Journal!$D$5:$D$9969,Journal!$B$5:$B$9969,H$5,Journal!$C$5:$C$9969,$B20)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SUMIFS(Journal!$D$5:$D$9969,Journal!$B$5:$B$9969,F$5,Journal!$C$5:$C$9969,$B22)</f>
        <v>0</v>
      </c>
      <c r="G23" s="59"/>
      <c r="H23" s="58">
        <f>SUMIFS(Journal!$D$5:$D$9969,Journal!$B$5:$B$9969,H$5,Journal!$C$5:$C$9969,$B22)</f>
        <v>0</v>
      </c>
      <c r="I23" s="60"/>
      <c r="J23" s="58"/>
      <c r="K23" s="60"/>
      <c r="L23" s="58">
        <f>SUMIFS(Journal!$D$5:$D$9969,Journal!$B$5:$B$9969,L$5,Journal!$C$5:$C$9969,$B22)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SUMIFS(Journal!$D$5:$D$9969,Journal!$B$5:$B$9969,H$5,Journal!$C$5:$C$9969,$B24)</f>
        <v>0</v>
      </c>
      <c r="I25" s="60"/>
      <c r="J25" s="58">
        <f>SUMIFS(Journal!$D$5:$D$9969,Journal!$B$5:$B$9969,J$5,Journal!$C$5:$C$9969,$B24)</f>
        <v>0</v>
      </c>
      <c r="K25" s="60"/>
      <c r="L25" s="58">
        <f>SUMIFS(Journal!$D$5:$D$9969,Journal!$B$5:$B$9969,L$5,Journal!$C$5:$C$9969,$B24)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0.95486111111111116</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SUMIFS(Journal!$D$5:$D$9969,Journal!$B$5:$B$9969,H$5,Journal!$C$5:$C$9969,$B28)</f>
        <v>0</v>
      </c>
      <c r="I29" s="60"/>
      <c r="J29" s="58">
        <f>SUMIFS(Journal!$D$5:$D$9969,Journal!$B$5:$B$9969,J$5,Journal!$C$5:$C$9969,$B28)</f>
        <v>0</v>
      </c>
      <c r="K29" s="60"/>
      <c r="L29" s="58">
        <f>SUMIFS(Journal!$D$5:$D$9969,Journal!$B$5:$B$9969,L$5,Journal!$C$5:$C$9969,$B28)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SUMIFS(Journal!$D$5:$D$9969,Journal!$B$5:$B$9969,F$5,Journal!$C$5:$C$9969,$B30)</f>
        <v>0</v>
      </c>
      <c r="G31" s="59"/>
      <c r="H31" s="58">
        <f>SUMIFS(Journal!$D$5:$D$9969,Journal!$B$5:$B$9969,H$5,Journal!$C$5:$C$9969,$B30)</f>
        <v>0</v>
      </c>
      <c r="I31" s="60"/>
      <c r="J31" s="58">
        <f>SUMIFS(Journal!$D$5:$D$9969,Journal!$B$5:$B$9969,J$5,Journal!$C$5:$C$9969,$B30)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SUMIFS(Journal!$D$5:$D$9969,Journal!$B$5:$B$9969,H$5,Journal!$C$5:$C$9969,$B32)</f>
        <v>0</v>
      </c>
      <c r="I33" s="60"/>
      <c r="J33" s="58">
        <f>SUMIFS(Journal!$D$5:$D$9969,Journal!$B$5:$B$9969,J$5,Journal!$C$5:$C$9969,$B32)</f>
        <v>0</v>
      </c>
      <c r="K33" s="60"/>
      <c r="L33" s="58">
        <f>SUMIFS(Journal!$D$5:$D$9969,Journal!$B$5:$B$9969,L$5,Journal!$C$5:$C$9969,$B32)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SUMIFS(Journal!$D$5:$D$9969,Journal!$B$5:$B$9969,D$5,Journal!$C$5:$C$9969,$B34)</f>
        <v>0</v>
      </c>
      <c r="E35" s="59"/>
      <c r="F35" s="58">
        <v>0.21875</v>
      </c>
      <c r="G35" s="59"/>
      <c r="H35" s="58">
        <f>SUMIFS(Journal!$D$5:$D$9969,Journal!$B$5:$B$9969,H$5,Journal!$C$5:$C$9969,$B34)</f>
        <v>0</v>
      </c>
      <c r="I35" s="60"/>
      <c r="J35" s="58">
        <f>SUMIFS(Journal!$D$5:$D$9969,Journal!$B$5:$B$9969,J$5,Journal!$C$5:$C$9969,$B34)</f>
        <v>0</v>
      </c>
      <c r="K35" s="60"/>
      <c r="L35" s="58">
        <f>SUMIFS(Journal!$D$5:$D$9969,Journal!$B$5:$B$9969,L$5,Journal!$C$5:$C$9969,$B34)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SUMIFS(Journal!$D$5:$D$9969,Journal!$B$5:$B$9969,D$5,Journal!$C$5:$C$9969,$B36)</f>
        <v>0</v>
      </c>
      <c r="E37" s="59"/>
      <c r="F37" s="58">
        <v>0.12847222222222224</v>
      </c>
      <c r="G37" s="59"/>
      <c r="H37" s="58">
        <f>SUMIFS(Journal!$D$5:$D$9969,Journal!$B$5:$B$9969,H$5,Journal!$C$5:$C$9969,$B36)</f>
        <v>0</v>
      </c>
      <c r="I37" s="60"/>
      <c r="J37" s="58">
        <f>SUMIFS(Journal!$D$5:$D$9969,Journal!$B$5:$B$9969,J$5,Journal!$C$5:$C$9969,$B36)</f>
        <v>0</v>
      </c>
      <c r="K37" s="60"/>
      <c r="L37" s="58">
        <f>SUMIFS(Journal!$D$5:$D$9969,Journal!$B$5:$B$9969,L$5,Journal!$C$5:$C$9969,$B36)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SUMIFS(Journal!$D$5:$D$9969,Journal!$B$5:$B$9969,D$5,Journal!$C$5:$C$9969,$B38)</f>
        <v>0</v>
      </c>
      <c r="E39" s="59"/>
      <c r="F39" s="58">
        <v>0.21180555555555555</v>
      </c>
      <c r="G39" s="59"/>
      <c r="H39" s="58">
        <v>0.18402777777777779</v>
      </c>
      <c r="I39" s="60"/>
      <c r="J39" s="58">
        <f>SUMIFS(Journal!$D$5:$D$9969,Journal!$B$5:$B$9969,J$5,Journal!$C$5:$C$9969,$B38)</f>
        <v>0</v>
      </c>
      <c r="K39" s="60"/>
      <c r="L39" s="58">
        <f>SUMIFS(Journal!$D$5:$D$9969,Journal!$B$5:$B$9969,L$5,Journal!$C$5:$C$9969,$B38)</f>
        <v>0</v>
      </c>
      <c r="M39" s="59"/>
      <c r="N39" s="61">
        <f t="shared" si="2"/>
        <v>0.39583333333333337</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0.38541666666666663</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SUMIFS(Journal!$D$5:$D$9969,Journal!$B$5:$B$9969,D$5,Journal!$C$5:$C$9969,$B42)</f>
        <v>0</v>
      </c>
      <c r="E43" s="59"/>
      <c r="F43" s="58">
        <v>6.25E-2</v>
      </c>
      <c r="G43" s="59"/>
      <c r="H43" s="58">
        <v>9.0277777777777776E-2</v>
      </c>
      <c r="I43" s="60"/>
      <c r="J43" s="58"/>
      <c r="K43" s="60"/>
      <c r="L43" s="58">
        <f>SUMIFS(Journal!$D$5:$D$9969,Journal!$B$5:$B$9969,L$5,Journal!$C$5:$C$9969,$B42)</f>
        <v>0</v>
      </c>
      <c r="M43" s="59"/>
      <c r="N43" s="61">
        <f t="shared" si="3"/>
        <v>0.15277777777777779</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SUMIFS(Journal!$D$5:$D$9969,Journal!$B$5:$B$9969,D$5,Journal!$C$5:$C$9969,$B44)</f>
        <v>0</v>
      </c>
      <c r="E45" s="59"/>
      <c r="F45" s="58">
        <f>SUMIFS(Journal!$D$5:$D$9969,Journal!$B$5:$B$9969,F$5,Journal!$C$5:$C$9969,$B44)</f>
        <v>0</v>
      </c>
      <c r="G45" s="59"/>
      <c r="H45" s="58">
        <v>6.5972222222222224E-2</v>
      </c>
      <c r="I45" s="60"/>
      <c r="J45" s="58">
        <f>SUMIFS(Journal!$D$5:$D$9969,Journal!$B$5:$B$9969,J$5,Journal!$C$5:$C$9969,$B44)</f>
        <v>0</v>
      </c>
      <c r="K45" s="60"/>
      <c r="L45" s="58">
        <f>SUMIFS(Journal!$D$5:$D$9969,Journal!$B$5:$B$9969,L$5,Journal!$C$5:$C$9969,$B44)</f>
        <v>0</v>
      </c>
      <c r="M45" s="59"/>
      <c r="N45" s="61">
        <f t="shared" si="3"/>
        <v>6.5972222222222224E-2</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SUMIFS(Journal!$D$5:$D$9969,Journal!$B$5:$B$9969,D$5,Journal!$C$5:$C$9969,$B46)</f>
        <v>0</v>
      </c>
      <c r="E47" s="59"/>
      <c r="F47" s="58">
        <v>0.16666666666666666</v>
      </c>
      <c r="G47" s="59"/>
      <c r="H47" s="58">
        <f>SUMIFS(Journal!$D$5:$D$9969,Journal!$B$5:$B$9969,H$5,Journal!$C$5:$C$9969,$B46)</f>
        <v>0</v>
      </c>
      <c r="I47" s="60"/>
      <c r="J47" s="58">
        <f>SUMIFS(Journal!$D$5:$D$9969,Journal!$B$5:$B$9969,J$5,Journal!$C$5:$C$9969,$B46)</f>
        <v>0</v>
      </c>
      <c r="K47" s="60"/>
      <c r="L47" s="58">
        <f>SUMIFS(Journal!$D$5:$D$9969,Journal!$B$5:$B$9969,L$5,Journal!$C$5:$C$9969,$B46)</f>
        <v>0</v>
      </c>
      <c r="M47" s="59"/>
      <c r="N47" s="61">
        <f t="shared" si="3"/>
        <v>0.16666666666666666</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0.23611111111111113</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SUMIFS(Journal!$D$5:$D$9969,Journal!$B$5:$B$9969,D$5,Journal!$C$5:$C$9969,$B50)</f>
        <v>0</v>
      </c>
      <c r="E51" s="59"/>
      <c r="F51" s="58">
        <v>5.2083333333333336E-2</v>
      </c>
      <c r="G51" s="59"/>
      <c r="H51" s="58">
        <v>0.18402777777777779</v>
      </c>
      <c r="I51" s="60"/>
      <c r="J51" s="58">
        <f>SUMIFS(Journal!$D$5:$D$9969,Journal!$B$5:$B$9969,J$5,Journal!$C$5:$C$9969,$B50)</f>
        <v>0</v>
      </c>
      <c r="K51" s="60"/>
      <c r="L51" s="58">
        <f>SUMIFS(Journal!$D$5:$D$9969,Journal!$B$5:$B$9969,L$5,Journal!$C$5:$C$9969,$B50)</f>
        <v>0</v>
      </c>
      <c r="M51" s="59"/>
      <c r="N51" s="61">
        <f>IF(SUM(D51:M51)=0,"",SUM(D51:M51))</f>
        <v>0.23611111111111113</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SUMIFS(Journal!$D$5:$D$9969,Journal!$B$5:$B$9969,D$5,Journal!$C$5:$C$9969,$B52)</f>
        <v>0</v>
      </c>
      <c r="E53" s="59"/>
      <c r="F53" s="58">
        <f>SUMIFS(Journal!$D$5:$D$9969,Journal!$B$5:$B$9969,F$5,Journal!$C$5:$C$9969,$B52)</f>
        <v>0</v>
      </c>
      <c r="G53" s="59"/>
      <c r="H53" s="58">
        <f>SUMIFS(Journal!$D$5:$D$9969,Journal!$B$5:$B$9969,H$5,Journal!$C$5:$C$9969,$B52)</f>
        <v>0</v>
      </c>
      <c r="I53" s="60"/>
      <c r="J53" s="58">
        <f>SUMIFS(Journal!$D$5:$D$9969,Journal!$B$5:$B$9969,J$5,Journal!$C$5:$C$9969,$B52)</f>
        <v>0</v>
      </c>
      <c r="K53" s="60"/>
      <c r="L53" s="58">
        <f>SUMIFS(Journal!$D$5:$D$9969,Journal!$B$5:$B$9969,L$5,Journal!$C$5:$C$9969,$B52)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SUMIFS(Journal!$D$5:$D$9969,Journal!$B$5:$B$9969,D$5,Journal!$C$5:$C$9969,$B54)</f>
        <v>0</v>
      </c>
      <c r="E55" s="59"/>
      <c r="F55" s="58">
        <f>SUMIFS(Journal!$D$5:$D$9969,Journal!$B$5:$B$9969,F$5,Journal!$C$5:$C$9969,$B54)</f>
        <v>0</v>
      </c>
      <c r="G55" s="59"/>
      <c r="H55" s="58">
        <f>SUMIFS(Journal!$D$5:$D$9969,Journal!$B$5:$B$9969,H$5,Journal!$C$5:$C$9969,$B54)</f>
        <v>0</v>
      </c>
      <c r="I55" s="60"/>
      <c r="J55" s="58">
        <f>SUMIFS(Journal!$D$5:$D$9969,Journal!$B$5:$B$9969,J$5,Journal!$C$5:$C$9969,$B54)</f>
        <v>0</v>
      </c>
      <c r="K55" s="60"/>
      <c r="L55" s="58">
        <f>SUMIFS(Journal!$D$5:$D$9969,Journal!$B$5:$B$9969,L$5,Journal!$C$5:$C$9969,$B54)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v>0.14583333333333334</v>
      </c>
      <c r="I57" s="60"/>
      <c r="J57" s="58">
        <f>SUMIFS(Journal!$D$5:$D$9969,Journal!$B$5:$B$9969,J$5,Journal!$C$5:$C$9969,$B56)</f>
        <v>0</v>
      </c>
      <c r="K57" s="60"/>
      <c r="L57" s="58">
        <f>SUMIFS(Journal!$D$5:$D$9969,Journal!$B$5:$B$9969,L$5,Journal!$C$5:$C$9969,$B56)</f>
        <v>0</v>
      </c>
      <c r="M57" s="59"/>
      <c r="N57" s="61">
        <f t="shared" ref="N57" si="5">IF(SUM(D57:M57)=0,"",SUM(D57:M57))</f>
        <v>0.25</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29"/>
  <sheetViews>
    <sheetView zoomScale="85" zoomScaleNormal="85" workbookViewId="0">
      <pane ySplit="4" topLeftCell="A62" activePane="bottomLeft" state="frozen"/>
      <selection pane="bottomLeft" activeCell="E75" sqref="E75"/>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45070</v>
      </c>
    </row>
    <row r="2" spans="1:5" ht="14.25" customHeight="1" x14ac:dyDescent="0.25">
      <c r="A2" s="92" t="s">
        <v>13</v>
      </c>
      <c r="B2" s="93"/>
      <c r="C2" s="93"/>
      <c r="D2" s="93"/>
      <c r="E2" s="95"/>
    </row>
    <row r="3" spans="1:5" ht="19.5" customHeight="1" x14ac:dyDescent="0.25">
      <c r="A3" s="114"/>
      <c r="B3" s="93"/>
      <c r="C3" s="93" t="s">
        <v>169</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ht="30" x14ac:dyDescent="0.25">
      <c r="A63" s="86">
        <v>45063</v>
      </c>
      <c r="B63" s="98">
        <v>3</v>
      </c>
      <c r="C63" s="7" t="s">
        <v>62</v>
      </c>
      <c r="D63" s="90" t="s">
        <v>126</v>
      </c>
      <c r="E63" s="88" t="s">
        <v>167</v>
      </c>
    </row>
    <row r="64" spans="1:5" ht="30" x14ac:dyDescent="0.25">
      <c r="A64" s="86"/>
      <c r="B64" s="98"/>
      <c r="C64" s="7" t="s">
        <v>38</v>
      </c>
      <c r="D64" s="90" t="s">
        <v>139</v>
      </c>
      <c r="E64" s="88" t="s">
        <v>168</v>
      </c>
    </row>
    <row r="65" spans="1:7" x14ac:dyDescent="0.25">
      <c r="A65" s="86"/>
      <c r="B65" s="98"/>
      <c r="C65" s="7"/>
      <c r="D65" s="90" t="s">
        <v>80</v>
      </c>
      <c r="E65" s="88" t="s">
        <v>108</v>
      </c>
    </row>
    <row r="66" spans="1:7" x14ac:dyDescent="0.25">
      <c r="A66" s="86">
        <v>45068</v>
      </c>
      <c r="B66" s="98">
        <v>4</v>
      </c>
      <c r="C66" s="7" t="s">
        <v>169</v>
      </c>
      <c r="D66" s="90" t="s">
        <v>170</v>
      </c>
      <c r="E66" s="88" t="s">
        <v>171</v>
      </c>
    </row>
    <row r="67" spans="1:7" ht="30" x14ac:dyDescent="0.25">
      <c r="A67" s="86"/>
      <c r="B67" s="98"/>
      <c r="C67" s="7" t="s">
        <v>37</v>
      </c>
      <c r="D67" s="90" t="s">
        <v>142</v>
      </c>
      <c r="E67" s="88" t="s">
        <v>172</v>
      </c>
    </row>
    <row r="68" spans="1:7" ht="30" x14ac:dyDescent="0.25">
      <c r="A68" s="86"/>
      <c r="B68" s="98"/>
      <c r="C68" s="7" t="s">
        <v>38</v>
      </c>
      <c r="D68" s="90" t="s">
        <v>123</v>
      </c>
      <c r="E68" s="88" t="s">
        <v>173</v>
      </c>
    </row>
    <row r="69" spans="1:7" x14ac:dyDescent="0.25">
      <c r="A69" s="86"/>
      <c r="B69" s="98"/>
      <c r="C69" s="7"/>
      <c r="D69" s="90" t="s">
        <v>124</v>
      </c>
      <c r="E69" s="88" t="s">
        <v>141</v>
      </c>
    </row>
    <row r="70" spans="1:7" ht="60" x14ac:dyDescent="0.25">
      <c r="A70" s="86">
        <v>45069</v>
      </c>
      <c r="B70" s="98">
        <v>4</v>
      </c>
      <c r="C70" s="7" t="s">
        <v>37</v>
      </c>
      <c r="D70" s="90" t="s">
        <v>126</v>
      </c>
      <c r="E70" s="88" t="s">
        <v>174</v>
      </c>
    </row>
    <row r="71" spans="1:7" ht="45" x14ac:dyDescent="0.25">
      <c r="A71" s="86"/>
      <c r="B71" s="98"/>
      <c r="C71" s="7" t="s">
        <v>162</v>
      </c>
      <c r="D71" s="90" t="s">
        <v>170</v>
      </c>
      <c r="E71" s="88" t="s">
        <v>175</v>
      </c>
    </row>
    <row r="72" spans="1:7" x14ac:dyDescent="0.25">
      <c r="A72" s="86"/>
      <c r="B72" s="98"/>
      <c r="C72" s="7" t="s">
        <v>38</v>
      </c>
      <c r="D72" s="90" t="s">
        <v>176</v>
      </c>
      <c r="E72" s="88" t="s">
        <v>177</v>
      </c>
    </row>
    <row r="73" spans="1:7" x14ac:dyDescent="0.25">
      <c r="A73" s="86"/>
      <c r="B73" s="98"/>
      <c r="C73" s="7"/>
      <c r="D73" s="90" t="s">
        <v>178</v>
      </c>
      <c r="E73" s="88" t="s">
        <v>179</v>
      </c>
    </row>
    <row r="74" spans="1:7" x14ac:dyDescent="0.25">
      <c r="A74" s="86">
        <v>45070</v>
      </c>
      <c r="B74" s="98">
        <v>4</v>
      </c>
      <c r="C74" s="7" t="s">
        <v>38</v>
      </c>
      <c r="D74" s="90" t="s">
        <v>180</v>
      </c>
      <c r="E74" s="88"/>
    </row>
    <row r="75" spans="1:7" x14ac:dyDescent="0.25">
      <c r="A75" s="86"/>
      <c r="B75" s="98"/>
      <c r="C75" s="7"/>
      <c r="D75" s="90" t="s">
        <v>80</v>
      </c>
      <c r="E75" s="88" t="s">
        <v>179</v>
      </c>
    </row>
    <row r="76" spans="1:7" x14ac:dyDescent="0.25">
      <c r="A76" s="86">
        <v>45071</v>
      </c>
      <c r="B76" s="98">
        <v>4</v>
      </c>
      <c r="C76" s="7"/>
      <c r="D76" s="90"/>
      <c r="E76" s="88"/>
    </row>
    <row r="77" spans="1:7" x14ac:dyDescent="0.25">
      <c r="A77" s="86">
        <v>45076</v>
      </c>
      <c r="B77" s="98">
        <v>5</v>
      </c>
      <c r="C77" s="7"/>
      <c r="D77" s="90"/>
      <c r="E77" s="88"/>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c r="C94" s="107"/>
      <c r="D94" s="108"/>
      <c r="E94" s="109"/>
      <c r="F94" s="110"/>
      <c r="G94" s="110"/>
    </row>
    <row r="95" spans="1:7" x14ac:dyDescent="0.25">
      <c r="A95" s="105"/>
      <c r="B95" s="106"/>
      <c r="C95" s="107"/>
      <c r="D95" s="108"/>
      <c r="E95" s="109"/>
      <c r="F95" s="110"/>
      <c r="G95" s="110"/>
    </row>
    <row r="96" spans="1:7" x14ac:dyDescent="0.25">
      <c r="A96" s="105"/>
      <c r="B96" s="106"/>
      <c r="C96" s="107"/>
      <c r="D96" s="108"/>
      <c r="E96" s="109"/>
      <c r="F96" s="110"/>
      <c r="G96" s="110"/>
    </row>
    <row r="97" spans="1:7" x14ac:dyDescent="0.25">
      <c r="A97" s="105"/>
      <c r="B97" s="106"/>
      <c r="C97" s="107"/>
      <c r="D97" s="108"/>
      <c r="E97" s="109"/>
      <c r="F97" s="110"/>
      <c r="G97" s="110"/>
    </row>
    <row r="98" spans="1:7" x14ac:dyDescent="0.25">
      <c r="A98" s="105"/>
      <c r="B98" s="106"/>
      <c r="C98" s="107"/>
      <c r="D98" s="108"/>
      <c r="E98" s="109"/>
      <c r="F98" s="110"/>
      <c r="G98" s="110"/>
    </row>
    <row r="99" spans="1:7" x14ac:dyDescent="0.25">
      <c r="A99" s="105"/>
      <c r="B99" s="106"/>
      <c r="C99" s="107"/>
      <c r="D99" s="108"/>
      <c r="E99" s="109"/>
      <c r="F99" s="110"/>
      <c r="G99" s="110"/>
    </row>
    <row r="100" spans="1:7" x14ac:dyDescent="0.25">
      <c r="A100" s="105"/>
      <c r="B100" s="106"/>
      <c r="C100" s="107"/>
      <c r="D100" s="108"/>
      <c r="E100" s="109"/>
      <c r="F100" s="110"/>
      <c r="G100" s="110"/>
    </row>
    <row r="101" spans="1:7" x14ac:dyDescent="0.25">
      <c r="A101" s="105"/>
      <c r="B101" s="106"/>
      <c r="C101" s="107"/>
      <c r="D101" s="108"/>
      <c r="E101" s="109"/>
      <c r="F101" s="110"/>
      <c r="G101" s="110"/>
    </row>
    <row r="102" spans="1:7" x14ac:dyDescent="0.25">
      <c r="A102" s="105"/>
      <c r="B102" s="106"/>
      <c r="C102" s="107"/>
      <c r="D102" s="108"/>
      <c r="E102" s="109"/>
      <c r="F102" s="110"/>
      <c r="G102" s="110"/>
    </row>
    <row r="103" spans="1:7" x14ac:dyDescent="0.25">
      <c r="A103" s="105"/>
      <c r="B103" s="106">
        <f t="shared" ref="B103:B166" si="0">WEEKNUM(A103,1)</f>
        <v>0</v>
      </c>
      <c r="C103" s="107"/>
      <c r="D103" s="108"/>
      <c r="E103" s="109"/>
      <c r="F103" s="110"/>
      <c r="G103" s="110"/>
    </row>
    <row r="104" spans="1:7" x14ac:dyDescent="0.25">
      <c r="A104" s="100"/>
      <c r="B104" s="101">
        <f t="shared" si="0"/>
        <v>0</v>
      </c>
      <c r="C104" s="102"/>
      <c r="D104" s="103"/>
      <c r="E104" s="104"/>
    </row>
    <row r="105" spans="1:7" x14ac:dyDescent="0.25">
      <c r="A105" s="87"/>
      <c r="B105" s="99">
        <f t="shared" si="0"/>
        <v>0</v>
      </c>
      <c r="C105" s="8"/>
      <c r="D105" s="91"/>
      <c r="E105" s="89"/>
    </row>
    <row r="106" spans="1:7" x14ac:dyDescent="0.25">
      <c r="A106" s="87"/>
      <c r="B106" s="99">
        <f t="shared" si="0"/>
        <v>0</v>
      </c>
      <c r="C106" s="8"/>
      <c r="D106" s="91"/>
      <c r="E106" s="89"/>
    </row>
    <row r="107" spans="1:7" x14ac:dyDescent="0.25">
      <c r="A107" s="87"/>
      <c r="B107" s="99">
        <f t="shared" si="0"/>
        <v>0</v>
      </c>
      <c r="C107" s="8"/>
      <c r="D107" s="91"/>
      <c r="E107" s="89"/>
    </row>
    <row r="108" spans="1:7" x14ac:dyDescent="0.25">
      <c r="A108" s="87"/>
      <c r="B108" s="99">
        <f t="shared" si="0"/>
        <v>0</v>
      </c>
      <c r="C108" s="8"/>
      <c r="D108" s="91"/>
      <c r="E108" s="89"/>
    </row>
    <row r="109" spans="1:7" x14ac:dyDescent="0.25">
      <c r="A109" s="87"/>
      <c r="B109" s="99">
        <f t="shared" si="0"/>
        <v>0</v>
      </c>
      <c r="C109" s="8"/>
      <c r="D109" s="91"/>
      <c r="E109" s="89"/>
    </row>
    <row r="110" spans="1:7" x14ac:dyDescent="0.25">
      <c r="A110" s="87"/>
      <c r="B110" s="99">
        <f t="shared" si="0"/>
        <v>0</v>
      </c>
      <c r="C110" s="8"/>
      <c r="D110" s="91"/>
      <c r="E110" s="89"/>
    </row>
    <row r="111" spans="1:7" x14ac:dyDescent="0.25">
      <c r="A111" s="87"/>
      <c r="B111" s="99">
        <f t="shared" si="0"/>
        <v>0</v>
      </c>
      <c r="C111" s="8"/>
      <c r="D111" s="91"/>
      <c r="E111" s="89"/>
    </row>
    <row r="112" spans="1:7"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si="0"/>
        <v>0</v>
      </c>
      <c r="C158" s="8"/>
      <c r="D158" s="91"/>
      <c r="E158" s="89"/>
    </row>
    <row r="159" spans="1:5" x14ac:dyDescent="0.25">
      <c r="A159" s="87"/>
      <c r="B159" s="99">
        <f t="shared" si="0"/>
        <v>0</v>
      </c>
      <c r="C159" s="8"/>
      <c r="D159" s="91"/>
      <c r="E159" s="89"/>
    </row>
    <row r="160" spans="1:5" x14ac:dyDescent="0.25">
      <c r="A160" s="87"/>
      <c r="B160" s="99">
        <f t="shared" si="0"/>
        <v>0</v>
      </c>
      <c r="C160" s="8"/>
      <c r="D160" s="91"/>
      <c r="E160" s="89"/>
    </row>
    <row r="161" spans="1:5" x14ac:dyDescent="0.25">
      <c r="A161" s="87"/>
      <c r="B161" s="99">
        <f t="shared" si="0"/>
        <v>0</v>
      </c>
      <c r="C161" s="8"/>
      <c r="D161" s="91"/>
      <c r="E161" s="89"/>
    </row>
    <row r="162" spans="1:5" x14ac:dyDescent="0.25">
      <c r="A162" s="87"/>
      <c r="B162" s="99">
        <f t="shared" si="0"/>
        <v>0</v>
      </c>
      <c r="C162" s="8"/>
      <c r="D162" s="91"/>
      <c r="E162" s="89"/>
    </row>
    <row r="163" spans="1:5" x14ac:dyDescent="0.25">
      <c r="A163" s="87"/>
      <c r="B163" s="99">
        <f t="shared" si="0"/>
        <v>0</v>
      </c>
      <c r="C163" s="8"/>
      <c r="D163" s="91"/>
      <c r="E163" s="89"/>
    </row>
    <row r="164" spans="1:5" x14ac:dyDescent="0.25">
      <c r="A164" s="87"/>
      <c r="B164" s="99">
        <f t="shared" si="0"/>
        <v>0</v>
      </c>
      <c r="C164" s="8"/>
      <c r="D164" s="91"/>
      <c r="E164" s="89"/>
    </row>
    <row r="165" spans="1:5" x14ac:dyDescent="0.25">
      <c r="A165" s="87"/>
      <c r="B165" s="99">
        <f t="shared" si="0"/>
        <v>0</v>
      </c>
      <c r="C165" s="8"/>
      <c r="D165" s="91"/>
      <c r="E165" s="89"/>
    </row>
    <row r="166" spans="1:5" x14ac:dyDescent="0.25">
      <c r="A166" s="87"/>
      <c r="B166" s="99">
        <f t="shared" si="0"/>
        <v>0</v>
      </c>
      <c r="C166" s="8"/>
      <c r="D166" s="91"/>
      <c r="E166" s="89"/>
    </row>
    <row r="167" spans="1:5" x14ac:dyDescent="0.25">
      <c r="A167" s="87"/>
      <c r="B167" s="99">
        <f t="shared" ref="B167:B230" si="1">WEEKNUM(A167,1)</f>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si="1"/>
        <v>0</v>
      </c>
      <c r="C222" s="8"/>
      <c r="D222" s="91"/>
      <c r="E222" s="89"/>
    </row>
    <row r="223" spans="1:5" x14ac:dyDescent="0.25">
      <c r="A223" s="87"/>
      <c r="B223" s="99">
        <f t="shared" si="1"/>
        <v>0</v>
      </c>
      <c r="C223" s="8"/>
      <c r="D223" s="91"/>
      <c r="E223" s="89"/>
    </row>
    <row r="224" spans="1:5" x14ac:dyDescent="0.25">
      <c r="A224" s="87"/>
      <c r="B224" s="99">
        <f t="shared" si="1"/>
        <v>0</v>
      </c>
      <c r="C224" s="8"/>
      <c r="D224" s="91"/>
      <c r="E224" s="89"/>
    </row>
    <row r="225" spans="1:5" x14ac:dyDescent="0.25">
      <c r="A225" s="87"/>
      <c r="B225" s="99">
        <f t="shared" si="1"/>
        <v>0</v>
      </c>
      <c r="C225" s="8"/>
      <c r="D225" s="91"/>
      <c r="E225" s="89"/>
    </row>
    <row r="226" spans="1:5" x14ac:dyDescent="0.25">
      <c r="A226" s="87"/>
      <c r="B226" s="99">
        <f t="shared" si="1"/>
        <v>0</v>
      </c>
      <c r="C226" s="8"/>
      <c r="D226" s="91"/>
      <c r="E226" s="89"/>
    </row>
    <row r="227" spans="1:5" x14ac:dyDescent="0.25">
      <c r="A227" s="87"/>
      <c r="B227" s="99">
        <f t="shared" si="1"/>
        <v>0</v>
      </c>
      <c r="C227" s="8"/>
      <c r="D227" s="91"/>
      <c r="E227" s="89"/>
    </row>
    <row r="228" spans="1:5" x14ac:dyDescent="0.25">
      <c r="A228" s="87"/>
      <c r="B228" s="99">
        <f t="shared" si="1"/>
        <v>0</v>
      </c>
      <c r="C228" s="8"/>
      <c r="D228" s="91"/>
      <c r="E228" s="89"/>
    </row>
    <row r="229" spans="1:5" x14ac:dyDescent="0.25">
      <c r="A229" s="87"/>
      <c r="B229" s="99">
        <f t="shared" si="1"/>
        <v>0</v>
      </c>
      <c r="C229" s="8"/>
      <c r="D229" s="91"/>
      <c r="E229" s="89"/>
    </row>
    <row r="230" spans="1:5" x14ac:dyDescent="0.25">
      <c r="A230" s="87"/>
      <c r="B230" s="99">
        <f t="shared" si="1"/>
        <v>0</v>
      </c>
      <c r="C230" s="8"/>
      <c r="D230" s="91"/>
      <c r="E230" s="89"/>
    </row>
    <row r="231" spans="1:5" x14ac:dyDescent="0.25">
      <c r="A231" s="87"/>
      <c r="B231" s="99">
        <f t="shared" ref="B231:B294" si="2">WEEKNUM(A231,1)</f>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si="2"/>
        <v>0</v>
      </c>
      <c r="C286" s="8"/>
      <c r="D286" s="91"/>
      <c r="E286" s="89"/>
    </row>
    <row r="287" spans="1:5" x14ac:dyDescent="0.25">
      <c r="A287" s="87"/>
      <c r="B287" s="99">
        <f t="shared" si="2"/>
        <v>0</v>
      </c>
      <c r="C287" s="8"/>
      <c r="D287" s="91"/>
      <c r="E287" s="89"/>
    </row>
    <row r="288" spans="1:5" x14ac:dyDescent="0.25">
      <c r="A288" s="87"/>
      <c r="B288" s="99">
        <f t="shared" si="2"/>
        <v>0</v>
      </c>
      <c r="C288" s="8"/>
      <c r="D288" s="91"/>
      <c r="E288" s="89"/>
    </row>
    <row r="289" spans="1:5" x14ac:dyDescent="0.25">
      <c r="A289" s="87"/>
      <c r="B289" s="99">
        <f t="shared" si="2"/>
        <v>0</v>
      </c>
      <c r="C289" s="8"/>
      <c r="D289" s="91"/>
      <c r="E289" s="89"/>
    </row>
    <row r="290" spans="1:5" x14ac:dyDescent="0.25">
      <c r="A290" s="87"/>
      <c r="B290" s="99">
        <f t="shared" si="2"/>
        <v>0</v>
      </c>
      <c r="C290" s="8"/>
      <c r="D290" s="91"/>
      <c r="E290" s="89"/>
    </row>
    <row r="291" spans="1:5" x14ac:dyDescent="0.25">
      <c r="A291" s="87"/>
      <c r="B291" s="99">
        <f t="shared" si="2"/>
        <v>0</v>
      </c>
      <c r="C291" s="8"/>
      <c r="D291" s="91"/>
      <c r="E291" s="89"/>
    </row>
    <row r="292" spans="1:5" x14ac:dyDescent="0.25">
      <c r="A292" s="87"/>
      <c r="B292" s="99">
        <f t="shared" si="2"/>
        <v>0</v>
      </c>
      <c r="C292" s="8"/>
      <c r="D292" s="91"/>
      <c r="E292" s="89"/>
    </row>
    <row r="293" spans="1:5" x14ac:dyDescent="0.25">
      <c r="A293" s="87"/>
      <c r="B293" s="99">
        <f t="shared" si="2"/>
        <v>0</v>
      </c>
      <c r="C293" s="8"/>
      <c r="D293" s="91"/>
      <c r="E293" s="89"/>
    </row>
    <row r="294" spans="1:5" x14ac:dyDescent="0.25">
      <c r="A294" s="87"/>
      <c r="B294" s="99">
        <f t="shared" si="2"/>
        <v>0</v>
      </c>
      <c r="C294" s="8"/>
      <c r="D294" s="91"/>
      <c r="E294" s="89"/>
    </row>
    <row r="295" spans="1:5" x14ac:dyDescent="0.25">
      <c r="A295" s="87"/>
      <c r="B295" s="99">
        <f t="shared" ref="B295:B358" si="3">WEEKNUM(A295,1)</f>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si="3"/>
        <v>0</v>
      </c>
      <c r="C350" s="8"/>
      <c r="D350" s="91"/>
      <c r="E350" s="89"/>
    </row>
    <row r="351" spans="1:5" x14ac:dyDescent="0.25">
      <c r="A351" s="87"/>
      <c r="B351" s="99">
        <f t="shared" si="3"/>
        <v>0</v>
      </c>
      <c r="C351" s="8"/>
      <c r="D351" s="91"/>
      <c r="E351" s="89"/>
    </row>
    <row r="352" spans="1:5" x14ac:dyDescent="0.25">
      <c r="A352" s="87"/>
      <c r="B352" s="99">
        <f t="shared" si="3"/>
        <v>0</v>
      </c>
      <c r="C352" s="8"/>
      <c r="D352" s="91"/>
      <c r="E352" s="89"/>
    </row>
    <row r="353" spans="1:5" x14ac:dyDescent="0.25">
      <c r="A353" s="87"/>
      <c r="B353" s="99">
        <f t="shared" si="3"/>
        <v>0</v>
      </c>
      <c r="C353" s="8"/>
      <c r="D353" s="91"/>
      <c r="E353" s="89"/>
    </row>
    <row r="354" spans="1:5" x14ac:dyDescent="0.25">
      <c r="A354" s="87"/>
      <c r="B354" s="99">
        <f t="shared" si="3"/>
        <v>0</v>
      </c>
      <c r="C354" s="8"/>
      <c r="D354" s="91"/>
      <c r="E354" s="89"/>
    </row>
    <row r="355" spans="1:5" x14ac:dyDescent="0.25">
      <c r="A355" s="87"/>
      <c r="B355" s="99">
        <f t="shared" si="3"/>
        <v>0</v>
      </c>
      <c r="C355" s="8"/>
      <c r="D355" s="91"/>
      <c r="E355" s="89"/>
    </row>
    <row r="356" spans="1:5" x14ac:dyDescent="0.25">
      <c r="A356" s="87"/>
      <c r="B356" s="99">
        <f t="shared" si="3"/>
        <v>0</v>
      </c>
      <c r="C356" s="8"/>
      <c r="D356" s="91"/>
      <c r="E356" s="89"/>
    </row>
    <row r="357" spans="1:5" x14ac:dyDescent="0.25">
      <c r="A357" s="87"/>
      <c r="B357" s="99">
        <f t="shared" si="3"/>
        <v>0</v>
      </c>
      <c r="C357" s="8"/>
      <c r="D357" s="91"/>
      <c r="E357" s="89"/>
    </row>
    <row r="358" spans="1:5" x14ac:dyDescent="0.25">
      <c r="A358" s="87"/>
      <c r="B358" s="99">
        <f t="shared" si="3"/>
        <v>0</v>
      </c>
      <c r="C358" s="8"/>
      <c r="D358" s="91"/>
      <c r="E358" s="89"/>
    </row>
    <row r="359" spans="1:5" x14ac:dyDescent="0.25">
      <c r="A359" s="87"/>
      <c r="B359" s="99">
        <f t="shared" ref="B359:B422" si="4">WEEKNUM(A359,1)</f>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si="4"/>
        <v>0</v>
      </c>
      <c r="C414" s="8"/>
      <c r="D414" s="91"/>
      <c r="E414" s="89"/>
    </row>
    <row r="415" spans="1:5" x14ac:dyDescent="0.25">
      <c r="A415" s="87"/>
      <c r="B415" s="99">
        <f t="shared" si="4"/>
        <v>0</v>
      </c>
      <c r="C415" s="8"/>
      <c r="D415" s="91"/>
      <c r="E415" s="89"/>
    </row>
    <row r="416" spans="1:5" x14ac:dyDescent="0.25">
      <c r="A416" s="87"/>
      <c r="B416" s="99">
        <f t="shared" si="4"/>
        <v>0</v>
      </c>
      <c r="C416" s="8"/>
      <c r="D416" s="91"/>
      <c r="E416" s="89"/>
    </row>
    <row r="417" spans="1:5" x14ac:dyDescent="0.25">
      <c r="A417" s="87"/>
      <c r="B417" s="99">
        <f t="shared" si="4"/>
        <v>0</v>
      </c>
      <c r="C417" s="8"/>
      <c r="D417" s="91"/>
      <c r="E417" s="89"/>
    </row>
    <row r="418" spans="1:5" x14ac:dyDescent="0.25">
      <c r="A418" s="87"/>
      <c r="B418" s="99">
        <f t="shared" si="4"/>
        <v>0</v>
      </c>
      <c r="C418" s="8"/>
      <c r="D418" s="91"/>
      <c r="E418" s="89"/>
    </row>
    <row r="419" spans="1:5" x14ac:dyDescent="0.25">
      <c r="A419" s="87"/>
      <c r="B419" s="99">
        <f t="shared" si="4"/>
        <v>0</v>
      </c>
      <c r="C419" s="8"/>
      <c r="D419" s="91"/>
      <c r="E419" s="89"/>
    </row>
    <row r="420" spans="1:5" x14ac:dyDescent="0.25">
      <c r="A420" s="87"/>
      <c r="B420" s="99">
        <f t="shared" si="4"/>
        <v>0</v>
      </c>
      <c r="C420" s="8"/>
      <c r="D420" s="91"/>
      <c r="E420" s="89"/>
    </row>
    <row r="421" spans="1:5" x14ac:dyDescent="0.25">
      <c r="A421" s="87"/>
      <c r="B421" s="99">
        <f t="shared" si="4"/>
        <v>0</v>
      </c>
      <c r="C421" s="8"/>
      <c r="D421" s="91"/>
      <c r="E421" s="89"/>
    </row>
    <row r="422" spans="1:5" x14ac:dyDescent="0.25">
      <c r="A422" s="87"/>
      <c r="B422" s="99">
        <f t="shared" si="4"/>
        <v>0</v>
      </c>
      <c r="C422" s="8"/>
      <c r="D422" s="91"/>
      <c r="E422" s="89"/>
    </row>
    <row r="423" spans="1:5" x14ac:dyDescent="0.25">
      <c r="A423" s="87"/>
      <c r="B423" s="99">
        <f t="shared" ref="B423:B486" si="5">WEEKNUM(A423,1)</f>
        <v>0</v>
      </c>
      <c r="C423" s="8"/>
      <c r="D423" s="91"/>
      <c r="E423" s="89"/>
    </row>
    <row r="424" spans="1:5" x14ac:dyDescent="0.25">
      <c r="A424" s="87"/>
      <c r="B424" s="99">
        <f t="shared" si="5"/>
        <v>0</v>
      </c>
      <c r="C424" s="8"/>
      <c r="D424" s="91"/>
      <c r="E424" s="89"/>
    </row>
    <row r="425" spans="1:5" x14ac:dyDescent="0.25">
      <c r="A425" s="87"/>
      <c r="B425" s="99">
        <f t="shared" si="5"/>
        <v>0</v>
      </c>
      <c r="C425" s="8"/>
      <c r="D425" s="91"/>
      <c r="E425" s="89"/>
    </row>
    <row r="426" spans="1:5" x14ac:dyDescent="0.25">
      <c r="A426" s="87"/>
      <c r="B426" s="99">
        <f t="shared" si="5"/>
        <v>0</v>
      </c>
      <c r="C426" s="8"/>
      <c r="D426" s="91"/>
      <c r="E426" s="89"/>
    </row>
    <row r="427" spans="1:5" x14ac:dyDescent="0.25">
      <c r="A427" s="87"/>
      <c r="B427" s="99">
        <f t="shared" si="5"/>
        <v>0</v>
      </c>
      <c r="C427" s="8"/>
      <c r="D427" s="91"/>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si="5"/>
        <v>0</v>
      </c>
      <c r="C478" s="8"/>
      <c r="D478" s="90"/>
      <c r="E478" s="89"/>
    </row>
    <row r="479" spans="1:5" x14ac:dyDescent="0.25">
      <c r="A479" s="86"/>
      <c r="B479" s="98">
        <f t="shared" si="5"/>
        <v>0</v>
      </c>
      <c r="C479" s="8"/>
      <c r="D479" s="90"/>
      <c r="E479" s="89"/>
    </row>
    <row r="480" spans="1:5" x14ac:dyDescent="0.25">
      <c r="A480" s="86"/>
      <c r="B480" s="98">
        <f t="shared" si="5"/>
        <v>0</v>
      </c>
      <c r="C480" s="8"/>
      <c r="D480" s="90"/>
      <c r="E480" s="89"/>
    </row>
    <row r="481" spans="1:5" x14ac:dyDescent="0.25">
      <c r="A481" s="86"/>
      <c r="B481" s="98">
        <f t="shared" si="5"/>
        <v>0</v>
      </c>
      <c r="C481" s="8"/>
      <c r="D481" s="90"/>
      <c r="E481" s="89"/>
    </row>
    <row r="482" spans="1:5" x14ac:dyDescent="0.25">
      <c r="A482" s="86"/>
      <c r="B482" s="98">
        <f t="shared" si="5"/>
        <v>0</v>
      </c>
      <c r="C482" s="8"/>
      <c r="D482" s="90"/>
      <c r="E482" s="89"/>
    </row>
    <row r="483" spans="1:5" x14ac:dyDescent="0.25">
      <c r="A483" s="86"/>
      <c r="B483" s="98">
        <f t="shared" si="5"/>
        <v>0</v>
      </c>
      <c r="C483" s="8"/>
      <c r="D483" s="90"/>
      <c r="E483" s="89"/>
    </row>
    <row r="484" spans="1:5" x14ac:dyDescent="0.25">
      <c r="A484" s="86"/>
      <c r="B484" s="98">
        <f t="shared" si="5"/>
        <v>0</v>
      </c>
      <c r="C484" s="8"/>
      <c r="D484" s="90"/>
      <c r="E484" s="89"/>
    </row>
    <row r="485" spans="1:5" x14ac:dyDescent="0.25">
      <c r="A485" s="86"/>
      <c r="B485" s="98">
        <f t="shared" si="5"/>
        <v>0</v>
      </c>
      <c r="C485" s="8"/>
      <c r="D485" s="90"/>
      <c r="E485" s="89"/>
    </row>
    <row r="486" spans="1:5" x14ac:dyDescent="0.25">
      <c r="A486" s="86"/>
      <c r="B486" s="98">
        <f t="shared" si="5"/>
        <v>0</v>
      </c>
      <c r="C486" s="8"/>
      <c r="D486" s="90"/>
      <c r="E486" s="89"/>
    </row>
    <row r="487" spans="1:5" x14ac:dyDescent="0.25">
      <c r="A487" s="86"/>
      <c r="B487" s="98">
        <f t="shared" ref="B487:B550" si="6">WEEKNUM(A487,1)</f>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si="6"/>
        <v>0</v>
      </c>
      <c r="C542" s="8"/>
      <c r="D542" s="90"/>
      <c r="E542" s="89"/>
    </row>
    <row r="543" spans="1:5" x14ac:dyDescent="0.25">
      <c r="A543" s="86"/>
      <c r="B543" s="98">
        <f t="shared" si="6"/>
        <v>0</v>
      </c>
      <c r="C543" s="8"/>
      <c r="D543" s="90"/>
      <c r="E543" s="89"/>
    </row>
    <row r="544" spans="1:5" x14ac:dyDescent="0.25">
      <c r="A544" s="86"/>
      <c r="B544" s="98">
        <f t="shared" si="6"/>
        <v>0</v>
      </c>
      <c r="C544" s="8"/>
      <c r="D544" s="90"/>
      <c r="E544" s="89"/>
    </row>
    <row r="545" spans="1:5" x14ac:dyDescent="0.25">
      <c r="A545" s="86"/>
      <c r="B545" s="98">
        <f t="shared" si="6"/>
        <v>0</v>
      </c>
      <c r="C545" s="8"/>
      <c r="D545" s="90"/>
      <c r="E545" s="89"/>
    </row>
    <row r="546" spans="1:5" x14ac:dyDescent="0.25">
      <c r="A546" s="86"/>
      <c r="B546" s="98">
        <f t="shared" si="6"/>
        <v>0</v>
      </c>
      <c r="C546" s="8"/>
      <c r="D546" s="90"/>
      <c r="E546" s="89"/>
    </row>
    <row r="547" spans="1:5" x14ac:dyDescent="0.25">
      <c r="A547" s="86"/>
      <c r="B547" s="98">
        <f t="shared" si="6"/>
        <v>0</v>
      </c>
      <c r="C547" s="8"/>
      <c r="D547" s="90"/>
      <c r="E547" s="89"/>
    </row>
    <row r="548" spans="1:5" x14ac:dyDescent="0.25">
      <c r="A548" s="86"/>
      <c r="B548" s="98">
        <f t="shared" si="6"/>
        <v>0</v>
      </c>
      <c r="C548" s="8"/>
      <c r="D548" s="90"/>
      <c r="E548" s="89"/>
    </row>
    <row r="549" spans="1:5" x14ac:dyDescent="0.25">
      <c r="A549" s="86"/>
      <c r="B549" s="98">
        <f t="shared" si="6"/>
        <v>0</v>
      </c>
      <c r="C549" s="8"/>
      <c r="D549" s="90"/>
      <c r="E549" s="89"/>
    </row>
    <row r="550" spans="1:5" x14ac:dyDescent="0.25">
      <c r="A550" s="86"/>
      <c r="B550" s="98">
        <f t="shared" si="6"/>
        <v>0</v>
      </c>
      <c r="C550" s="8"/>
      <c r="D550" s="90"/>
      <c r="E550" s="89"/>
    </row>
    <row r="551" spans="1:5" x14ac:dyDescent="0.25">
      <c r="A551" s="86"/>
      <c r="B551" s="98">
        <f t="shared" ref="B551:B614" si="7">WEEKNUM(A551,1)</f>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si="7"/>
        <v>0</v>
      </c>
      <c r="C606" s="8"/>
      <c r="D606" s="90"/>
      <c r="E606" s="89"/>
    </row>
    <row r="607" spans="1:5" x14ac:dyDescent="0.25">
      <c r="A607" s="86"/>
      <c r="B607" s="98">
        <f t="shared" si="7"/>
        <v>0</v>
      </c>
      <c r="C607" s="8"/>
      <c r="D607" s="90"/>
      <c r="E607" s="89"/>
    </row>
    <row r="608" spans="1:5" x14ac:dyDescent="0.25">
      <c r="A608" s="86"/>
      <c r="B608" s="98">
        <f t="shared" si="7"/>
        <v>0</v>
      </c>
      <c r="C608" s="8"/>
      <c r="D608" s="90"/>
      <c r="E608" s="89"/>
    </row>
    <row r="609" spans="1:5" x14ac:dyDescent="0.25">
      <c r="A609" s="86"/>
      <c r="B609" s="98">
        <f t="shared" si="7"/>
        <v>0</v>
      </c>
      <c r="C609" s="8"/>
      <c r="D609" s="90"/>
      <c r="E609" s="89"/>
    </row>
    <row r="610" spans="1:5" x14ac:dyDescent="0.25">
      <c r="A610" s="86"/>
      <c r="B610" s="98">
        <f t="shared" si="7"/>
        <v>0</v>
      </c>
      <c r="C610" s="8"/>
      <c r="D610" s="90"/>
      <c r="E610" s="89"/>
    </row>
    <row r="611" spans="1:5" x14ac:dyDescent="0.25">
      <c r="A611" s="86"/>
      <c r="B611" s="98">
        <f t="shared" si="7"/>
        <v>0</v>
      </c>
      <c r="C611" s="8"/>
      <c r="D611" s="90"/>
      <c r="E611" s="89"/>
    </row>
    <row r="612" spans="1:5" x14ac:dyDescent="0.25">
      <c r="A612" s="86"/>
      <c r="B612" s="98">
        <f t="shared" si="7"/>
        <v>0</v>
      </c>
      <c r="C612" s="8"/>
      <c r="D612" s="90"/>
      <c r="E612" s="89"/>
    </row>
    <row r="613" spans="1:5" x14ac:dyDescent="0.25">
      <c r="A613" s="86"/>
      <c r="B613" s="98">
        <f t="shared" si="7"/>
        <v>0</v>
      </c>
      <c r="C613" s="8"/>
      <c r="D613" s="90"/>
      <c r="E613" s="89"/>
    </row>
    <row r="614" spans="1:5" x14ac:dyDescent="0.25">
      <c r="A614" s="86"/>
      <c r="B614" s="98">
        <f t="shared" si="7"/>
        <v>0</v>
      </c>
      <c r="C614" s="8"/>
      <c r="D614" s="90"/>
      <c r="E614" s="89"/>
    </row>
    <row r="615" spans="1:5" x14ac:dyDescent="0.25">
      <c r="A615" s="86"/>
      <c r="B615" s="98">
        <f t="shared" ref="B615:B678" si="8">WEEKNUM(A615,1)</f>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si="8"/>
        <v>0</v>
      </c>
      <c r="C670" s="8"/>
      <c r="D670" s="90"/>
      <c r="E670" s="89"/>
    </row>
    <row r="671" spans="1:5" x14ac:dyDescent="0.25">
      <c r="A671" s="86"/>
      <c r="B671" s="98">
        <f t="shared" si="8"/>
        <v>0</v>
      </c>
      <c r="C671" s="8"/>
      <c r="D671" s="90"/>
      <c r="E671" s="89"/>
    </row>
    <row r="672" spans="1:5" x14ac:dyDescent="0.25">
      <c r="A672" s="86"/>
      <c r="B672" s="98">
        <f t="shared" si="8"/>
        <v>0</v>
      </c>
      <c r="C672" s="8"/>
      <c r="D672" s="90"/>
      <c r="E672" s="89"/>
    </row>
    <row r="673" spans="1:5" x14ac:dyDescent="0.25">
      <c r="A673" s="86"/>
      <c r="B673" s="98">
        <f t="shared" si="8"/>
        <v>0</v>
      </c>
      <c r="C673" s="8"/>
      <c r="D673" s="90"/>
      <c r="E673" s="89"/>
    </row>
    <row r="674" spans="1:5" x14ac:dyDescent="0.25">
      <c r="A674" s="86"/>
      <c r="B674" s="98">
        <f t="shared" si="8"/>
        <v>0</v>
      </c>
      <c r="C674" s="8"/>
      <c r="D674" s="90"/>
      <c r="E674" s="89"/>
    </row>
    <row r="675" spans="1:5" x14ac:dyDescent="0.25">
      <c r="A675" s="86"/>
      <c r="B675" s="98">
        <f t="shared" si="8"/>
        <v>0</v>
      </c>
      <c r="C675" s="8"/>
      <c r="D675" s="90"/>
      <c r="E675" s="89"/>
    </row>
    <row r="676" spans="1:5" x14ac:dyDescent="0.25">
      <c r="A676" s="86"/>
      <c r="B676" s="98">
        <f t="shared" si="8"/>
        <v>0</v>
      </c>
      <c r="C676" s="8"/>
      <c r="D676" s="90"/>
      <c r="E676" s="89"/>
    </row>
    <row r="677" spans="1:5" x14ac:dyDescent="0.25">
      <c r="A677" s="86"/>
      <c r="B677" s="98">
        <f t="shared" si="8"/>
        <v>0</v>
      </c>
      <c r="C677" s="8"/>
      <c r="D677" s="90"/>
      <c r="E677" s="89"/>
    </row>
    <row r="678" spans="1:5" x14ac:dyDescent="0.25">
      <c r="A678" s="86"/>
      <c r="B678" s="98">
        <f t="shared" si="8"/>
        <v>0</v>
      </c>
      <c r="C678" s="8"/>
      <c r="D678" s="90"/>
      <c r="E678" s="89"/>
    </row>
    <row r="679" spans="1:5" x14ac:dyDescent="0.25">
      <c r="A679" s="86"/>
      <c r="B679" s="98">
        <f t="shared" ref="B679:B729" si="9">WEEKNUM(A679,1)</f>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row r="721" spans="1:5" x14ac:dyDescent="0.25">
      <c r="A721" s="86"/>
      <c r="B721" s="98">
        <f t="shared" si="9"/>
        <v>0</v>
      </c>
      <c r="C721" s="8"/>
      <c r="D721" s="90"/>
      <c r="E721" s="89"/>
    </row>
    <row r="722" spans="1:5" x14ac:dyDescent="0.25">
      <c r="A722" s="86"/>
      <c r="B722" s="98">
        <f t="shared" si="9"/>
        <v>0</v>
      </c>
      <c r="C722" s="8"/>
      <c r="D722" s="90"/>
      <c r="E722" s="89"/>
    </row>
    <row r="723" spans="1:5" x14ac:dyDescent="0.25">
      <c r="A723" s="86"/>
      <c r="B723" s="98">
        <f t="shared" si="9"/>
        <v>0</v>
      </c>
      <c r="C723" s="8"/>
      <c r="D723" s="90"/>
      <c r="E723" s="89"/>
    </row>
    <row r="724" spans="1:5" x14ac:dyDescent="0.25">
      <c r="A724" s="86"/>
      <c r="B724" s="98">
        <f t="shared" si="9"/>
        <v>0</v>
      </c>
      <c r="C724" s="8"/>
      <c r="D724" s="90"/>
      <c r="E724" s="89"/>
    </row>
    <row r="725" spans="1:5" x14ac:dyDescent="0.25">
      <c r="A725" s="86"/>
      <c r="B725" s="98">
        <f t="shared" si="9"/>
        <v>0</v>
      </c>
      <c r="C725" s="8"/>
      <c r="D725" s="90"/>
      <c r="E725" s="89"/>
    </row>
    <row r="726" spans="1:5" x14ac:dyDescent="0.25">
      <c r="A726" s="86"/>
      <c r="B726" s="98">
        <f t="shared" si="9"/>
        <v>0</v>
      </c>
      <c r="C726" s="8"/>
      <c r="D726" s="90"/>
      <c r="E726" s="89"/>
    </row>
    <row r="727" spans="1:5" x14ac:dyDescent="0.25">
      <c r="A727" s="86"/>
      <c r="B727" s="98">
        <f t="shared" si="9"/>
        <v>0</v>
      </c>
      <c r="C727" s="8"/>
      <c r="D727" s="90"/>
      <c r="E727" s="89"/>
    </row>
    <row r="728" spans="1:5" x14ac:dyDescent="0.25">
      <c r="A728" s="86"/>
      <c r="B728" s="98">
        <f t="shared" si="9"/>
        <v>0</v>
      </c>
      <c r="C728" s="8"/>
      <c r="D728" s="90"/>
      <c r="E728" s="89"/>
    </row>
    <row r="729" spans="1:5" x14ac:dyDescent="0.25">
      <c r="A729" s="86"/>
      <c r="B729" s="98">
        <f t="shared" si="9"/>
        <v>0</v>
      </c>
      <c r="C729" s="8"/>
      <c r="D729" s="90"/>
      <c r="E729"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C5:C729</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2023-05-24T09:33:21Z</dcterms:modified>
</cp:coreProperties>
</file>