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H57" i="1" l="1"/>
  <c r="J57" i="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H39" i="1"/>
  <c r="F55" i="1"/>
  <c r="D53" i="1"/>
  <c r="F31" i="1"/>
  <c r="D35" i="1"/>
  <c r="D45" i="1"/>
  <c r="F17" i="1"/>
  <c r="F45" i="1"/>
  <c r="D55" i="1"/>
  <c r="F13" i="1"/>
  <c r="F53" i="1"/>
  <c r="F15" i="1"/>
  <c r="F23"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<sst xmlns="http://schemas.openxmlformats.org/spreadsheetml/2006/main" count="233" uniqueCount="167">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</sst>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zoomScale="70" zoomScaleNormal="70" zoomScalePageLayoutView="70" workbookViewId="0">
      <selection activeCell="B38" sqref="B38"/>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1.7847222222222223</v>
      </c>
      <c r="D4" s="4">
        <f>D9+D11+D13+D15+D17+D21+D23+D29+D25+D31+D33+D57</f>
        <v>0.7777777777777779</v>
      </c>
      <c r="E4" s="2"/>
      <c r="F4" s="4">
        <f>F33+F35+F37+F39+F43+F47+F51+F57</f>
        <v>1.0069444444444444</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SUMIFS(Journal!$D$5:$D$9960,Journal!$B$5:$B$9960,J$5,Journal!$C$5:$C$9960,$B8)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SUMIFS(Journal!$D$5:$D$9960,Journal!$B$5:$B$9960,H$5,Journal!$C$5:$C$9960,$B10)</f>
        <v>0</v>
      </c>
      <c r="I11" s="60"/>
      <c r="J11" s="58"/>
      <c r="K11" s="60"/>
      <c r="L11" s="58">
        <f>SUMIFS(Journal!$D$5:$D$9960,Journal!$B$5:$B$9960,L$5,Journal!$C$5:$C$9960,$B10)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SUMIFS(Journal!$D$5:$D$9960,Journal!$B$5:$B$9960,F$5,Journal!$C$5:$C$9960,$B12)</f>
        <v>0</v>
      </c>
      <c r="G13" s="59"/>
      <c r="H13" s="58">
        <f>SUMIFS(Journal!$D$5:$D$9960,Journal!$B$5:$B$9960,H$5,Journal!$C$5:$C$9960,$B12)</f>
        <v>0</v>
      </c>
      <c r="I13" s="60"/>
      <c r="J13" s="58">
        <f>SUMIFS(Journal!$D$5:$D$9960,Journal!$B$5:$B$9960,J$5,Journal!$C$5:$C$9960,$B12)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SUMIFS(Journal!$D$5:$D$9960,Journal!$B$5:$B$9960,F$5,Journal!$C$5:$C$9960,$B14)</f>
        <v>0</v>
      </c>
      <c r="G15" s="59"/>
      <c r="H15" s="58">
        <f>SUMIFS(Journal!$D$5:$D$9960,Journal!$B$5:$B$9960,H$5,Journal!$C$5:$C$9960,$B14)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SUMIFS(Journal!$D$5:$D$9960,Journal!$B$5:$B$9960,F$5,Journal!$C$5:$C$9960,$B16)</f>
        <v>0</v>
      </c>
      <c r="G17" s="59"/>
      <c r="H17" s="58">
        <f>SUMIFS(Journal!$D$5:$D$9960,Journal!$B$5:$B$9960,H$5,Journal!$C$5:$C$9960,$B16)</f>
        <v>0</v>
      </c>
      <c r="I17" s="60"/>
      <c r="J17" s="58"/>
      <c r="K17" s="60"/>
      <c r="L17" s="58">
        <f>SUMIFS(Journal!$D$5:$D$9960,Journal!$B$5:$B$9960,L$5,Journal!$C$5:$C$9960,$B16)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SUMIFS(Journal!$D$5:$D$9960,Journal!$B$5:$B$9960,F$5,Journal!$C$5:$C$9960,$B20)</f>
        <v>0</v>
      </c>
      <c r="G21" s="59"/>
      <c r="H21" s="58">
        <f>SUMIFS(Journal!$D$5:$D$9960,Journal!$B$5:$B$9960,H$5,Journal!$C$5:$C$9960,$B20)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SUMIFS(Journal!$D$5:$D$9960,Journal!$B$5:$B$9960,F$5,Journal!$C$5:$C$9960,$B22)</f>
        <v>0</v>
      </c>
      <c r="G23" s="59"/>
      <c r="H23" s="58">
        <f>SUMIFS(Journal!$D$5:$D$9960,Journal!$B$5:$B$9960,H$5,Journal!$C$5:$C$9960,$B22)</f>
        <v>0</v>
      </c>
      <c r="I23" s="60"/>
      <c r="J23" s="58"/>
      <c r="K23" s="60"/>
      <c r="L23" s="58">
        <f>SUMIFS(Journal!$D$5:$D$9960,Journal!$B$5:$B$9960,L$5,Journal!$C$5:$C$9960,$B22)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SUMIFS(Journal!$D$5:$D$9960,Journal!$B$5:$B$9960,H$5,Journal!$C$5:$C$9960,$B24)</f>
        <v>0</v>
      </c>
      <c r="I25" s="60"/>
      <c r="J25" s="58">
        <f>SUMIFS(Journal!$D$5:$D$9960,Journal!$B$5:$B$9960,J$5,Journal!$C$5:$C$9960,$B24)</f>
        <v>0</v>
      </c>
      <c r="K25" s="60"/>
      <c r="L25" s="58">
        <f>SUMIFS(Journal!$D$5:$D$9960,Journal!$B$5:$B$9960,L$5,Journal!$C$5:$C$9960,$B24)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0.77083333333333337</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SUMIFS(Journal!$D$5:$D$9960,Journal!$B$5:$B$9960,H$5,Journal!$C$5:$C$9960,$B28)</f>
        <v>0</v>
      </c>
      <c r="I29" s="60"/>
      <c r="J29" s="58">
        <f>SUMIFS(Journal!$D$5:$D$9960,Journal!$B$5:$B$9960,J$5,Journal!$C$5:$C$9960,$B28)</f>
        <v>0</v>
      </c>
      <c r="K29" s="60"/>
      <c r="L29" s="58">
        <f>SUMIFS(Journal!$D$5:$D$9960,Journal!$B$5:$B$9960,L$5,Journal!$C$5:$C$9960,$B28)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SUMIFS(Journal!$D$5:$D$9960,Journal!$B$5:$B$9960,F$5,Journal!$C$5:$C$9960,$B30)</f>
        <v>0</v>
      </c>
      <c r="G31" s="59"/>
      <c r="H31" s="58">
        <f>SUMIFS(Journal!$D$5:$D$9960,Journal!$B$5:$B$9960,H$5,Journal!$C$5:$C$9960,$B30)</f>
        <v>0</v>
      </c>
      <c r="I31" s="60"/>
      <c r="J31" s="58">
        <f>SUMIFS(Journal!$D$5:$D$9960,Journal!$B$5:$B$9960,J$5,Journal!$C$5:$C$9960,$B30)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SUMIFS(Journal!$D$5:$D$9960,Journal!$B$5:$B$9960,H$5,Journal!$C$5:$C$9960,$B32)</f>
        <v>0</v>
      </c>
      <c r="I33" s="60"/>
      <c r="J33" s="58">
        <f>SUMIFS(Journal!$D$5:$D$9960,Journal!$B$5:$B$9960,J$5,Journal!$C$5:$C$9960,$B32)</f>
        <v>0</v>
      </c>
      <c r="K33" s="60"/>
      <c r="L33" s="58">
        <f>SUMIFS(Journal!$D$5:$D$9960,Journal!$B$5:$B$9960,L$5,Journal!$C$5:$C$9960,$B32)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SUMIFS(Journal!$D$5:$D$9960,Journal!$B$5:$B$9960,D$5,Journal!$C$5:$C$9960,$B34)</f>
        <v>0</v>
      </c>
      <c r="E35" s="59"/>
      <c r="F35" s="58">
        <v>0.21875</v>
      </c>
      <c r="G35" s="59"/>
      <c r="H35" s="58">
        <f>SUMIFS(Journal!$D$5:$D$9960,Journal!$B$5:$B$9960,H$5,Journal!$C$5:$C$9960,$B34)</f>
        <v>0</v>
      </c>
      <c r="I35" s="60"/>
      <c r="J35" s="58">
        <f>SUMIFS(Journal!$D$5:$D$9960,Journal!$B$5:$B$9960,J$5,Journal!$C$5:$C$9960,$B34)</f>
        <v>0</v>
      </c>
      <c r="K35" s="60"/>
      <c r="L35" s="58">
        <f>SUMIFS(Journal!$D$5:$D$9960,Journal!$B$5:$B$9960,L$5,Journal!$C$5:$C$9960,$B34)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SUMIFS(Journal!$D$5:$D$9960,Journal!$B$5:$B$9960,D$5,Journal!$C$5:$C$9960,$B36)</f>
        <v>0</v>
      </c>
      <c r="E37" s="59"/>
      <c r="F37" s="58">
        <v>0.12847222222222224</v>
      </c>
      <c r="G37" s="59"/>
      <c r="H37" s="58">
        <f>SUMIFS(Journal!$D$5:$D$9960,Journal!$B$5:$B$9960,H$5,Journal!$C$5:$C$9960,$B36)</f>
        <v>0</v>
      </c>
      <c r="I37" s="60"/>
      <c r="J37" s="58">
        <f>SUMIFS(Journal!$D$5:$D$9960,Journal!$B$5:$B$9960,J$5,Journal!$C$5:$C$9960,$B36)</f>
        <v>0</v>
      </c>
      <c r="K37" s="60"/>
      <c r="L37" s="58">
        <f>SUMIFS(Journal!$D$5:$D$9960,Journal!$B$5:$B$9960,L$5,Journal!$C$5:$C$9960,$B36)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SUMIFS(Journal!$D$5:$D$9960,Journal!$B$5:$B$9960,D$5,Journal!$C$5:$C$9960,$B38)</f>
        <v>0</v>
      </c>
      <c r="E39" s="59"/>
      <c r="F39" s="58">
        <v>0.21180555555555555</v>
      </c>
      <c r="G39" s="59"/>
      <c r="H39" s="58">
        <f>SUMIFS(Journal!$D$5:$D$9960,Journal!$B$5:$B$9960,H$5,Journal!$C$5:$C$9960,$B38)</f>
        <v>0</v>
      </c>
      <c r="I39" s="60"/>
      <c r="J39" s="58">
        <f>SUMIFS(Journal!$D$5:$D$9960,Journal!$B$5:$B$9960,J$5,Journal!$C$5:$C$9960,$B38)</f>
        <v>0</v>
      </c>
      <c r="K39" s="60"/>
      <c r="L39" s="58">
        <f>SUMIFS(Journal!$D$5:$D$9960,Journal!$B$5:$B$9960,L$5,Journal!$C$5:$C$9960,$B38)</f>
        <v>0</v>
      </c>
      <c r="M39" s="59"/>
      <c r="N39" s="61">
        <f t="shared" si="2"/>
        <v>0.21180555555555555</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0.22916666666666666</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SUMIFS(Journal!$D$5:$D$9960,Journal!$B$5:$B$9960,D$5,Journal!$C$5:$C$9960,$B42)</f>
        <v>0</v>
      </c>
      <c r="E43" s="59"/>
      <c r="F43" s="58">
        <v>6.25E-2</v>
      </c>
      <c r="G43" s="59"/>
      <c r="H43" s="58">
        <f>SUMIFS(Journal!$D$5:$D$9960,Journal!$B$5:$B$9960,H$5,Journal!$C$5:$C$9960,$B42)</f>
        <v>0</v>
      </c>
      <c r="I43" s="60"/>
      <c r="J43" s="58"/>
      <c r="K43" s="60"/>
      <c r="L43" s="58">
        <f>SUMIFS(Journal!$D$5:$D$9960,Journal!$B$5:$B$9960,L$5,Journal!$C$5:$C$9960,$B42)</f>
        <v>0</v>
      </c>
      <c r="M43" s="59"/>
      <c r="N43" s="61">
        <f t="shared" si="3"/>
        <v>6.25E-2</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SUMIFS(Journal!$D$5:$D$9960,Journal!$B$5:$B$9960,D$5,Journal!$C$5:$C$9960,$B44)</f>
        <v>0</v>
      </c>
      <c r="E45" s="59"/>
      <c r="F45" s="58">
        <f>SUMIFS(Journal!$D$5:$D$9960,Journal!$B$5:$B$9960,F$5,Journal!$C$5:$C$9960,$B44)</f>
        <v>0</v>
      </c>
      <c r="G45" s="59"/>
      <c r="H45" s="58">
        <f>SUMIFS(Journal!$D$5:$D$9960,Journal!$B$5:$B$9960,H$5,Journal!$C$5:$C$9960,$B44)</f>
        <v>0</v>
      </c>
      <c r="I45" s="60"/>
      <c r="J45" s="58">
        <f>SUMIFS(Journal!$D$5:$D$9960,Journal!$B$5:$B$9960,J$5,Journal!$C$5:$C$9960,$B44)</f>
        <v>0</v>
      </c>
      <c r="K45" s="60"/>
      <c r="L45" s="58">
        <f>SUMIFS(Journal!$D$5:$D$9960,Journal!$B$5:$B$9960,L$5,Journal!$C$5:$C$9960,$B44)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SUMIFS(Journal!$D$5:$D$9960,Journal!$B$5:$B$9960,D$5,Journal!$C$5:$C$9960,$B46)</f>
        <v>0</v>
      </c>
      <c r="E47" s="59"/>
      <c r="F47" s="58">
        <v>0.16666666666666666</v>
      </c>
      <c r="G47" s="59"/>
      <c r="H47" s="58">
        <f>SUMIFS(Journal!$D$5:$D$9960,Journal!$B$5:$B$9960,H$5,Journal!$C$5:$C$9960,$B46)</f>
        <v>0</v>
      </c>
      <c r="I47" s="60"/>
      <c r="J47" s="58">
        <f>SUMIFS(Journal!$D$5:$D$9960,Journal!$B$5:$B$9960,J$5,Journal!$C$5:$C$9960,$B46)</f>
        <v>0</v>
      </c>
      <c r="K47" s="60"/>
      <c r="L47" s="58">
        <f>SUMIFS(Journal!$D$5:$D$9960,Journal!$B$5:$B$9960,L$5,Journal!$C$5:$C$9960,$B46)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5.2083333333333336E-2</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SUMIFS(Journal!$D$5:$D$9960,Journal!$B$5:$B$9960,D$5,Journal!$C$5:$C$9960,$B50)</f>
        <v>0</v>
      </c>
      <c r="E51" s="59"/>
      <c r="F51" s="58">
        <v>5.2083333333333336E-2</v>
      </c>
      <c r="G51" s="59"/>
      <c r="H51" s="58">
        <f>SUMIFS(Journal!$D$5:$D$9960,Journal!$B$5:$B$9960,H$5,Journal!$C$5:$C$9960,$B50)</f>
        <v>0</v>
      </c>
      <c r="I51" s="60"/>
      <c r="J51" s="58">
        <f>SUMIFS(Journal!$D$5:$D$9960,Journal!$B$5:$B$9960,J$5,Journal!$C$5:$C$9960,$B50)</f>
        <v>0</v>
      </c>
      <c r="K51" s="60"/>
      <c r="L51" s="58">
        <f>SUMIFS(Journal!$D$5:$D$9960,Journal!$B$5:$B$9960,L$5,Journal!$C$5:$C$9960,$B50)</f>
        <v>0</v>
      </c>
      <c r="M51" s="59"/>
      <c r="N51" s="61">
        <f>IF(SUM(D51:M51)=0,"",SUM(D51:M51))</f>
        <v>5.2083333333333336E-2</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SUMIFS(Journal!$D$5:$D$9960,Journal!$B$5:$B$9960,D$5,Journal!$C$5:$C$9960,$B52)</f>
        <v>0</v>
      </c>
      <c r="E53" s="59"/>
      <c r="F53" s="58">
        <f>SUMIFS(Journal!$D$5:$D$9960,Journal!$B$5:$B$9960,F$5,Journal!$C$5:$C$9960,$B52)</f>
        <v>0</v>
      </c>
      <c r="G53" s="59"/>
      <c r="H53" s="58">
        <f>SUMIFS(Journal!$D$5:$D$9960,Journal!$B$5:$B$9960,H$5,Journal!$C$5:$C$9960,$B52)</f>
        <v>0</v>
      </c>
      <c r="I53" s="60"/>
      <c r="J53" s="58">
        <f>SUMIFS(Journal!$D$5:$D$9960,Journal!$B$5:$B$9960,J$5,Journal!$C$5:$C$9960,$B52)</f>
        <v>0</v>
      </c>
      <c r="K53" s="60"/>
      <c r="L53" s="58">
        <f>SUMIFS(Journal!$D$5:$D$9960,Journal!$B$5:$B$9960,L$5,Journal!$C$5:$C$9960,$B52)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SUMIFS(Journal!$D$5:$D$9960,Journal!$B$5:$B$9960,D$5,Journal!$C$5:$C$9960,$B54)</f>
        <v>0</v>
      </c>
      <c r="E55" s="59"/>
      <c r="F55" s="58">
        <f>SUMIFS(Journal!$D$5:$D$9960,Journal!$B$5:$B$9960,F$5,Journal!$C$5:$C$9960,$B54)</f>
        <v>0</v>
      </c>
      <c r="G55" s="59"/>
      <c r="H55" s="58">
        <f>SUMIFS(Journal!$D$5:$D$9960,Journal!$B$5:$B$9960,H$5,Journal!$C$5:$C$9960,$B54)</f>
        <v>0</v>
      </c>
      <c r="I55" s="60"/>
      <c r="J55" s="58">
        <f>SUMIFS(Journal!$D$5:$D$9960,Journal!$B$5:$B$9960,J$5,Journal!$C$5:$C$9960,$B54)</f>
        <v>0</v>
      </c>
      <c r="K55" s="60"/>
      <c r="L55" s="58">
        <f>SUMIFS(Journal!$D$5:$D$9960,Journal!$B$5:$B$9960,L$5,Journal!$C$5:$C$9960,$B54)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f>SUMIFS(Journal!$D$5:$D$9960,Journal!$B$5:$B$9960,H$5,Journal!$C$5:$C$9960,$B56)</f>
        <v>0</v>
      </c>
      <c r="I57" s="60"/>
      <c r="J57" s="58">
        <f>SUMIFS(Journal!$D$5:$D$9960,Journal!$B$5:$B$9960,J$5,Journal!$C$5:$C$9960,$B56)</f>
        <v>0</v>
      </c>
      <c r="K57" s="60"/>
      <c r="L57" s="58">
        <f>SUMIFS(Journal!$D$5:$D$9960,Journal!$B$5:$B$9960,L$5,Journal!$C$5:$C$9960,$B56)</f>
        <v>0</v>
      </c>
      <c r="M57" s="59"/>
      <c r="N57" s="61">
        <f t="shared" ref="N57" si="5">IF(SUM(D57:M57)=0,"",SUM(D57:M57))</f>
        <v>0.10416666666666667</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20"/>
  <sheetViews>
    <sheetView tabSelected="1" zoomScale="85" zoomScaleNormal="85" workbookViewId="0">
      <pane ySplit="4" topLeftCell="A50" activePane="bottomLeft" state="frozen"/>
      <selection pane="bottomLeft" sqref="A1:E62"/>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45062</v>
      </c>
    </row>
    <row r="2" spans="1:5" ht="14.25" customHeight="1" x14ac:dyDescent="0.25">
      <c r="A2" s="92" t="s">
        <v>13</v>
      </c>
      <c r="B2" s="93"/>
      <c r="C2" s="93"/>
      <c r="D2" s="93"/>
      <c r="E2" s="95"/>
    </row>
    <row r="3" spans="1:5" ht="15.75" hidden="1" customHeight="1" x14ac:dyDescent="0.25">
      <c r="A3" s="114"/>
      <c r="B3" s="93"/>
      <c r="C3" s="93" t="s">
        <v>162</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x14ac:dyDescent="0.25">
      <c r="A63" s="86">
        <v>45063</v>
      </c>
      <c r="B63" s="98">
        <v>3</v>
      </c>
      <c r="C63" s="7"/>
      <c r="D63" s="90"/>
      <c r="E63" s="88"/>
    </row>
    <row r="64" spans="1:5" x14ac:dyDescent="0.25">
      <c r="A64" s="86">
        <v>45068</v>
      </c>
      <c r="B64" s="98">
        <v>4</v>
      </c>
      <c r="C64" s="7"/>
      <c r="D64" s="90"/>
      <c r="E64" s="88"/>
    </row>
    <row r="65" spans="1:7" x14ac:dyDescent="0.25">
      <c r="A65" s="86">
        <v>45069</v>
      </c>
      <c r="B65" s="98">
        <v>4</v>
      </c>
      <c r="C65" s="7"/>
      <c r="D65" s="90"/>
      <c r="E65" s="88"/>
    </row>
    <row r="66" spans="1:7" x14ac:dyDescent="0.25">
      <c r="A66" s="86">
        <v>45070</v>
      </c>
      <c r="B66" s="98">
        <v>4</v>
      </c>
      <c r="C66" s="7"/>
      <c r="D66" s="90"/>
      <c r="E66" s="88"/>
    </row>
    <row r="67" spans="1:7" x14ac:dyDescent="0.25">
      <c r="A67" s="86">
        <v>45071</v>
      </c>
      <c r="B67" s="98">
        <v>4</v>
      </c>
      <c r="C67" s="7"/>
      <c r="D67" s="90"/>
      <c r="E67" s="88"/>
    </row>
    <row r="68" spans="1:7" x14ac:dyDescent="0.25">
      <c r="A68" s="86">
        <v>45076</v>
      </c>
      <c r="B68" s="98">
        <v>5</v>
      </c>
      <c r="C68" s="7"/>
      <c r="D68" s="90"/>
      <c r="E68" s="88"/>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f t="shared" ref="B94:B157" si="0">WEEKNUM(A94,1)</f>
        <v>0</v>
      </c>
      <c r="C94" s="107"/>
      <c r="D94" s="108"/>
      <c r="E94" s="109"/>
      <c r="F94" s="110"/>
      <c r="G94" s="110"/>
    </row>
    <row r="95" spans="1:7" x14ac:dyDescent="0.25">
      <c r="A95" s="100"/>
      <c r="B95" s="101">
        <f t="shared" si="0"/>
        <v>0</v>
      </c>
      <c r="C95" s="102"/>
      <c r="D95" s="103"/>
      <c r="E95" s="104"/>
    </row>
    <row r="96" spans="1:7"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ref="B158:B221" si="1">WEEKNUM(A158,1)</f>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ref="B222:B285" si="2">WEEKNUM(A222,1)</f>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ref="B286:B349" si="3">WEEKNUM(A286,1)</f>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ref="B350:B413" si="4">WEEKNUM(A350,1)</f>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ref="B414:B477" si="5">WEEKNUM(A414,1)</f>
        <v>0</v>
      </c>
      <c r="C414" s="8"/>
      <c r="D414" s="91"/>
      <c r="E414" s="89"/>
    </row>
    <row r="415" spans="1:5" x14ac:dyDescent="0.25">
      <c r="A415" s="87"/>
      <c r="B415" s="99">
        <f t="shared" si="5"/>
        <v>0</v>
      </c>
      <c r="C415" s="8"/>
      <c r="D415" s="91"/>
      <c r="E415" s="89"/>
    </row>
    <row r="416" spans="1:5" x14ac:dyDescent="0.25">
      <c r="A416" s="87"/>
      <c r="B416" s="99">
        <f t="shared" si="5"/>
        <v>0</v>
      </c>
      <c r="C416" s="8"/>
      <c r="D416" s="91"/>
      <c r="E416" s="89"/>
    </row>
    <row r="417" spans="1:5" x14ac:dyDescent="0.25">
      <c r="A417" s="87"/>
      <c r="B417" s="99">
        <f t="shared" si="5"/>
        <v>0</v>
      </c>
      <c r="C417" s="8"/>
      <c r="D417" s="91"/>
      <c r="E417" s="89"/>
    </row>
    <row r="418" spans="1:5" x14ac:dyDescent="0.25">
      <c r="A418" s="87"/>
      <c r="B418" s="99">
        <f t="shared" si="5"/>
        <v>0</v>
      </c>
      <c r="C418" s="8"/>
      <c r="D418" s="91"/>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ref="B478:B541" si="6">WEEKNUM(A478,1)</f>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ref="B542:B605" si="7">WEEKNUM(A542,1)</f>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ref="B606:B669" si="8">WEEKNUM(A606,1)</f>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ref="B670:B720" si="9">WEEKNUM(A670,1)</f>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C5:C720</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2023-05-16T14:43:21Z</dcterms:modified>
</cp:coreProperties>
</file>