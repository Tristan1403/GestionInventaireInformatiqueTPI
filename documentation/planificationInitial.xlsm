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J57" i="1" l="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J51" i="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<sst xmlns="http://schemas.openxmlformats.org/spreadsheetml/2006/main" count="273" uniqueCount="183">
  <si>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</si>
  <si>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</si>
  <si>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</si>
  <si>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</si>
  <si>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</si>
  <si>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</si>
  <si>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</si>
  <si>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</si>
  <si>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</si>
  <si>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</si>
  <si>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</si>
  <si>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</si>
  <si>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</si>
  <si>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</si>
  <si>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</si>
  <si>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</si>
  <si>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</si>
  <si>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</si>
  <si>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</si>
  <si>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</si>
  <si>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</si>
  <si>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</si>
  <si>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</si>
  <si>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</si>
  <si>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</si>
  <si>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</si>
  <si>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</si>
  <si>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</si>
  <si>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</si>
  <si>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</si>
  <si>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</si>
  <si>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</si>
  <si>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</si>
  <si>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</si>
  <si>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</si>
  <si>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</si>
  <si>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</si>
  <si>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</si>
  <si>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</si>
  <si>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</si>
  <si>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</si>
  <si>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</si>
  <si>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</si>
  <si>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</si>
  <si>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</si>
  <si>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</si>
  <si>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</si>
  <si>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</si>
  <si>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</si>
  <si>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</si>
  <si>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</si>
  <si>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</si>
  <si>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</si>
  <si>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</si>
  <si>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</si>
  <si>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</si>
  <si>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</si>
  <si>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</si>
  <si>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</si>
  <si>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</si>
  <si>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</si>
  <si>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</si>
  <si>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</si>
  <si>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</si>
  <si>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</si>
  <si>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</si>
  <si>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</si>
  <si>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</si>
  <si>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</si>
  <si>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</si>
  <si>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</si>
  <si>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</si>
  <si>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</si>
  <si>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</si>
  <si>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</si>
  <si>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</si>
  <si>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</si>
  <si>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</si>
  <si>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</si>
  <si>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</si>
  <si>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</si>
  <si>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</si>
  <si>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</si>
  <si>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</si>
  <si>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</si>
  <si>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</si>
  <si>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</si>
  <si>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</si>
  <si>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</si>
  <si>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</si>
  <si>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</si>
  <si>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</si>
  <si>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</si>
  <si>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</si>
  <si>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</si>
  <si>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</si>
  <si>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</si>
  <si>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</si>
  <si>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</si>
  <si>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</si>
  <si>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</si>
  <si>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</si>
  <si>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</si>
  <si>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</si>
  <si>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</si>
  <si>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</si>
  <si>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</si>
  <si>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</si>
  <si>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</si>
  <si>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</si>
  <si>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</si>
  <si>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</si>
  <si>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</si>
  <si>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</si>
  <si>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</si>
  <si>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</si>
  <si>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</si>
  <si>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</si>
  <si>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</si>
  <si>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</si>
  <si>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</si>
  <si>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</si>
  <si>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</si>
  <si>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</si>
  <si>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</si>
  <si>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</si>
  <si>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</si>
  <si>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</si>
  <si>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</si>
  <si>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</si>
  <si>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</si>
  <si>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</si>
  <si>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</si>
  <si>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</si>
  <si>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</si>
  <si>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</si>
  <si>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</si>
  <si>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</si>
  <si>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</si>
  <si>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</si>
  <si>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</si>
  <si>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</si>
  <si>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</si>
  <si>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</si>
  <si>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</si>
  <si>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</si>
  <si>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</si>
  <si>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</si>
  <si>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</si>
  <si>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</si>
  <si>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</si>
  <si>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</si>
  <si>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</si>
  <si>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</si>
  <si>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</si>
  <si>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</si>
  <si>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</si>
  <si>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</si>
  <si>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</si>
  <si>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</si>
  <si>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</si>
  <si>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</si>
  <si>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</si>
  <si>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</si>
  <si>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</si>
  <si>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</si>
  <si>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</si>
  <si>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</si>
  <si>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</si>
  <si>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</si>
  <si>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</si>
  <si>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</si>
  <si>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</si>
  <si>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</si>
  <si>
    <t>le test getList n'était pas utile car elle pouvait être intégrer à AddDeleteGetListWordTest ce qui permet de pouvoir modifier la liste de storage place sans faire un échec dans le teste</t>
  </si>
  <si>
    <t>écriture des commentaires et effacer des doublons maintenant je touche plus au code et les tests sont toujoours fonctionnel</t>
  </si>
  <si>
    <t>13h30-16h30</t>
  </si>
  <si>
    <t>erreurs retantes, sources, anuel d'utilisation, MCD</t>
  </si>
  <si>
    <t>16h30-16h55</t>
  </si>
  <si>
    <t>mail + journal de travail</t>
  </si>
  <si>
    <t>08h00-12h00</t>
  </si>
  <si>
    <t>conclusion, resumé</t>
  </si>
  <si>
    <t>digramme de classe +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</si>
</sst>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opLeftCell="A16" zoomScale="70" zoomScaleNormal="70" zoomScalePageLayoutView="70" workbookViewId="0">
      <selection activeCell="A52" sqref="A52"/>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2.4548611111111112</v>
      </c>
      <c r="D4" s="4">
        <f>D9+D11+D13+D15+D17+D21+D23+D29+D25+D31+D33+D57</f>
        <v>0.7777777777777779</v>
      </c>
      <c r="E4" s="2"/>
      <c r="F4" s="4">
        <f>F33+F35+F37+F39+F43+F47+F51+F57</f>
        <v>1.0069444444444444</v>
      </c>
      <c r="G4" s="3"/>
      <c r="H4" s="4">
        <f>H39+H43+H45+H51+H57</f>
        <v>0.67013888888888895</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SUMIFS(Journal!$D$5:$D$9970,Journal!$B$5:$B$9970,J$5,Journal!$C$5:$C$9970,$B8)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SUMIFS(Journal!$D$5:$D$9970,Journal!$B$5:$B$9970,H$5,Journal!$C$5:$C$9970,$B10)</f>
        <v>0</v>
      </c>
      <c r="I11" s="60"/>
      <c r="J11" s="58"/>
      <c r="K11" s="60"/>
      <c r="L11" s="58">
        <f>SUMIFS(Journal!$D$5:$D$9970,Journal!$B$5:$B$9970,L$5,Journal!$C$5:$C$9970,$B10)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SUMIFS(Journal!$D$5:$D$9970,Journal!$B$5:$B$9970,F$5,Journal!$C$5:$C$9970,$B12)</f>
        <v>0</v>
      </c>
      <c r="G13" s="59"/>
      <c r="H13" s="58">
        <f>SUMIFS(Journal!$D$5:$D$9970,Journal!$B$5:$B$9970,H$5,Journal!$C$5:$C$9970,$B12)</f>
        <v>0</v>
      </c>
      <c r="I13" s="60"/>
      <c r="J13" s="58">
        <f>SUMIFS(Journal!$D$5:$D$9970,Journal!$B$5:$B$9970,J$5,Journal!$C$5:$C$9970,$B12)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SUMIFS(Journal!$D$5:$D$9970,Journal!$B$5:$B$9970,F$5,Journal!$C$5:$C$9970,$B14)</f>
        <v>0</v>
      </c>
      <c r="G15" s="59"/>
      <c r="H15" s="58">
        <f>SUMIFS(Journal!$D$5:$D$9970,Journal!$B$5:$B$9970,H$5,Journal!$C$5:$C$9970,$B14)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SUMIFS(Journal!$D$5:$D$9970,Journal!$B$5:$B$9970,F$5,Journal!$C$5:$C$9970,$B16)</f>
        <v>0</v>
      </c>
      <c r="G17" s="59"/>
      <c r="H17" s="58">
        <f>SUMIFS(Journal!$D$5:$D$9970,Journal!$B$5:$B$9970,H$5,Journal!$C$5:$C$9970,$B16)</f>
        <v>0</v>
      </c>
      <c r="I17" s="60"/>
      <c r="J17" s="58"/>
      <c r="K17" s="60"/>
      <c r="L17" s="58">
        <f>SUMIFS(Journal!$D$5:$D$9970,Journal!$B$5:$B$9970,L$5,Journal!$C$5:$C$9970,$B16)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SUMIFS(Journal!$D$5:$D$9970,Journal!$B$5:$B$9970,F$5,Journal!$C$5:$C$9970,$B20)</f>
        <v>0</v>
      </c>
      <c r="G21" s="59"/>
      <c r="H21" s="58">
        <f>SUMIFS(Journal!$D$5:$D$9970,Journal!$B$5:$B$9970,H$5,Journal!$C$5:$C$9970,$B20)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SUMIFS(Journal!$D$5:$D$9970,Journal!$B$5:$B$9970,F$5,Journal!$C$5:$C$9970,$B22)</f>
        <v>0</v>
      </c>
      <c r="G23" s="59"/>
      <c r="H23" s="58">
        <f>SUMIFS(Journal!$D$5:$D$9970,Journal!$B$5:$B$9970,H$5,Journal!$C$5:$C$9970,$B22)</f>
        <v>0</v>
      </c>
      <c r="I23" s="60"/>
      <c r="J23" s="58"/>
      <c r="K23" s="60"/>
      <c r="L23" s="58">
        <f>SUMIFS(Journal!$D$5:$D$9970,Journal!$B$5:$B$9970,L$5,Journal!$C$5:$C$9970,$B22)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SUMIFS(Journal!$D$5:$D$9970,Journal!$B$5:$B$9970,H$5,Journal!$C$5:$C$9970,$B24)</f>
        <v>0</v>
      </c>
      <c r="I25" s="60"/>
      <c r="J25" s="58">
        <f>SUMIFS(Journal!$D$5:$D$9970,Journal!$B$5:$B$9970,J$5,Journal!$C$5:$C$9970,$B24)</f>
        <v>0</v>
      </c>
      <c r="K25" s="60"/>
      <c r="L25" s="58">
        <f>SUMIFS(Journal!$D$5:$D$9970,Journal!$B$5:$B$9970,L$5,Journal!$C$5:$C$9970,$B24)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SUMIFS(Journal!$D$5:$D$9970,Journal!$B$5:$B$9970,H$5,Journal!$C$5:$C$9970,$B28)</f>
        <v>0</v>
      </c>
      <c r="I29" s="60"/>
      <c r="J29" s="58">
        <f>SUMIFS(Journal!$D$5:$D$9970,Journal!$B$5:$B$9970,J$5,Journal!$C$5:$C$9970,$B28)</f>
        <v>0</v>
      </c>
      <c r="K29" s="60"/>
      <c r="L29" s="58">
        <f>SUMIFS(Journal!$D$5:$D$9970,Journal!$B$5:$B$9970,L$5,Journal!$C$5:$C$9970,$B28)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SUMIFS(Journal!$D$5:$D$9970,Journal!$B$5:$B$9970,F$5,Journal!$C$5:$C$9970,$B30)</f>
        <v>0</v>
      </c>
      <c r="G31" s="59"/>
      <c r="H31" s="58">
        <f>SUMIFS(Journal!$D$5:$D$9970,Journal!$B$5:$B$9970,H$5,Journal!$C$5:$C$9970,$B30)</f>
        <v>0</v>
      </c>
      <c r="I31" s="60"/>
      <c r="J31" s="58">
        <f>SUMIFS(Journal!$D$5:$D$9970,Journal!$B$5:$B$9970,J$5,Journal!$C$5:$C$9970,$B30)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SUMIFS(Journal!$D$5:$D$9970,Journal!$B$5:$B$9970,H$5,Journal!$C$5:$C$9970,$B32)</f>
        <v>0</v>
      </c>
      <c r="I33" s="60"/>
      <c r="J33" s="58">
        <f>SUMIFS(Journal!$D$5:$D$9970,Journal!$B$5:$B$9970,J$5,Journal!$C$5:$C$9970,$B32)</f>
        <v>0</v>
      </c>
      <c r="K33" s="60"/>
      <c r="L33" s="58">
        <f>SUMIFS(Journal!$D$5:$D$9970,Journal!$B$5:$B$9970,L$5,Journal!$C$5:$C$9970,$B32)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SUMIFS(Journal!$D$5:$D$9970,Journal!$B$5:$B$9970,D$5,Journal!$C$5:$C$9970,$B34)</f>
        <v>0</v>
      </c>
      <c r="E35" s="59"/>
      <c r="F35" s="58">
        <v>0.21875</v>
      </c>
      <c r="G35" s="59"/>
      <c r="H35" s="58">
        <f>SUMIFS(Journal!$D$5:$D$9970,Journal!$B$5:$B$9970,H$5,Journal!$C$5:$C$9970,$B34)</f>
        <v>0</v>
      </c>
      <c r="I35" s="60"/>
      <c r="J35" s="58">
        <f>SUMIFS(Journal!$D$5:$D$9970,Journal!$B$5:$B$9970,J$5,Journal!$C$5:$C$9970,$B34)</f>
        <v>0</v>
      </c>
      <c r="K35" s="60"/>
      <c r="L35" s="58">
        <f>SUMIFS(Journal!$D$5:$D$9970,Journal!$B$5:$B$9970,L$5,Journal!$C$5:$C$9970,$B34)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SUMIFS(Journal!$D$5:$D$9970,Journal!$B$5:$B$9970,D$5,Journal!$C$5:$C$9970,$B36)</f>
        <v>0</v>
      </c>
      <c r="E37" s="59"/>
      <c r="F37" s="58">
        <v>0.12847222222222224</v>
      </c>
      <c r="G37" s="59"/>
      <c r="H37" s="58">
        <f>SUMIFS(Journal!$D$5:$D$9970,Journal!$B$5:$B$9970,H$5,Journal!$C$5:$C$9970,$B36)</f>
        <v>0</v>
      </c>
      <c r="I37" s="60"/>
      <c r="J37" s="58">
        <f>SUMIFS(Journal!$D$5:$D$9970,Journal!$B$5:$B$9970,J$5,Journal!$C$5:$C$9970,$B36)</f>
        <v>0</v>
      </c>
      <c r="K37" s="60"/>
      <c r="L37" s="58">
        <f>SUMIFS(Journal!$D$5:$D$9970,Journal!$B$5:$B$9970,L$5,Journal!$C$5:$C$9970,$B36)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SUMIFS(Journal!$D$5:$D$9970,Journal!$B$5:$B$9970,D$5,Journal!$C$5:$C$9970,$B38)</f>
        <v>0</v>
      </c>
      <c r="E39" s="59"/>
      <c r="F39" s="58">
        <v>0.21180555555555555</v>
      </c>
      <c r="G39" s="59"/>
      <c r="H39" s="58">
        <v>0.18402777777777779</v>
      </c>
      <c r="I39" s="60"/>
      <c r="J39" s="58">
        <f>SUMIFS(Journal!$D$5:$D$9970,Journal!$B$5:$B$9970,J$5,Journal!$C$5:$C$9970,$B38)</f>
        <v>0</v>
      </c>
      <c r="K39" s="60"/>
      <c r="L39" s="58">
        <f>SUMIFS(Journal!$D$5:$D$9970,Journal!$B$5:$B$9970,L$5,Journal!$C$5:$C$9970,$B38)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0.38541666666666663</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SUMIFS(Journal!$D$5:$D$9970,Journal!$B$5:$B$9970,D$5,Journal!$C$5:$C$9970,$B42)</f>
        <v>0</v>
      </c>
      <c r="E43" s="59"/>
      <c r="F43" s="58">
        <v>6.25E-2</v>
      </c>
      <c r="G43" s="59"/>
      <c r="H43" s="58">
        <v>9.0277777777777776E-2</v>
      </c>
      <c r="I43" s="60"/>
      <c r="J43" s="58"/>
      <c r="K43" s="60"/>
      <c r="L43" s="58">
        <f>SUMIFS(Journal!$D$5:$D$9970,Journal!$B$5:$B$9970,L$5,Journal!$C$5:$C$9970,$B42)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SUMIFS(Journal!$D$5:$D$9970,Journal!$B$5:$B$9970,D$5,Journal!$C$5:$C$9970,$B44)</f>
        <v>0</v>
      </c>
      <c r="E45" s="59"/>
      <c r="F45" s="58">
        <f>SUMIFS(Journal!$D$5:$D$9970,Journal!$B$5:$B$9970,F$5,Journal!$C$5:$C$9970,$B44)</f>
        <v>0</v>
      </c>
      <c r="G45" s="59"/>
      <c r="H45" s="58">
        <v>6.5972222222222224E-2</v>
      </c>
      <c r="I45" s="60"/>
      <c r="J45" s="58">
        <f>SUMIFS(Journal!$D$5:$D$9970,Journal!$B$5:$B$9970,J$5,Journal!$C$5:$C$9970,$B44)</f>
        <v>0</v>
      </c>
      <c r="K45" s="60"/>
      <c r="L45" s="58">
        <f>SUMIFS(Journal!$D$5:$D$9970,Journal!$B$5:$B$9970,L$5,Journal!$C$5:$C$9970,$B44)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SUMIFS(Journal!$D$5:$D$9970,Journal!$B$5:$B$9970,D$5,Journal!$C$5:$C$9970,$B46)</f>
        <v>0</v>
      </c>
      <c r="E47" s="59"/>
      <c r="F47" s="58">
        <v>0.16666666666666666</v>
      </c>
      <c r="G47" s="59"/>
      <c r="H47" s="58">
        <f>SUMIFS(Journal!$D$5:$D$9970,Journal!$B$5:$B$9970,H$5,Journal!$C$5:$C$9970,$B46)</f>
        <v>0</v>
      </c>
      <c r="I47" s="60"/>
      <c r="J47" s="58">
        <f>SUMIFS(Journal!$D$5:$D$9970,Journal!$B$5:$B$9970,J$5,Journal!$C$5:$C$9970,$B46)</f>
        <v>0</v>
      </c>
      <c r="K47" s="60"/>
      <c r="L47" s="58">
        <f>SUMIFS(Journal!$D$5:$D$9970,Journal!$B$5:$B$9970,L$5,Journal!$C$5:$C$9970,$B46)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0.23611111111111113</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SUMIFS(Journal!$D$5:$D$9970,Journal!$B$5:$B$9970,D$5,Journal!$C$5:$C$9970,$B50)</f>
        <v>0</v>
      </c>
      <c r="E51" s="59"/>
      <c r="F51" s="58">
        <v>5.2083333333333336E-2</v>
      </c>
      <c r="G51" s="59"/>
      <c r="H51" s="58">
        <v>0.18402777777777779</v>
      </c>
      <c r="I51" s="60"/>
      <c r="J51" s="58">
        <f>SUMIFS(Journal!$D$5:$D$9970,Journal!$B$5:$B$9970,J$5,Journal!$C$5:$C$9970,$B50)</f>
        <v>0</v>
      </c>
      <c r="K51" s="60"/>
      <c r="L51" s="58">
        <f>SUMIFS(Journal!$D$5:$D$9970,Journal!$B$5:$B$9970,L$5,Journal!$C$5:$C$9970,$B50)</f>
        <v>0</v>
      </c>
      <c r="M51" s="59"/>
      <c r="N51" s="61">
        <f>IF(SUM(D51:M51)=0,"",SUM(D51:M51))</f>
        <v>0.23611111111111113</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SUMIFS(Journal!$D$5:$D$9970,Journal!$B$5:$B$9970,D$5,Journal!$C$5:$C$9970,$B52)</f>
        <v>0</v>
      </c>
      <c r="E53" s="59"/>
      <c r="F53" s="58">
        <f>SUMIFS(Journal!$D$5:$D$9970,Journal!$B$5:$B$9970,F$5,Journal!$C$5:$C$9970,$B52)</f>
        <v>0</v>
      </c>
      <c r="G53" s="59"/>
      <c r="H53" s="58">
        <f>SUMIFS(Journal!$D$5:$D$9970,Journal!$B$5:$B$9970,H$5,Journal!$C$5:$C$9970,$B52)</f>
        <v>0</v>
      </c>
      <c r="I53" s="60"/>
      <c r="J53" s="58">
        <f>SUMIFS(Journal!$D$5:$D$9970,Journal!$B$5:$B$9970,J$5,Journal!$C$5:$C$9970,$B52)</f>
        <v>0</v>
      </c>
      <c r="K53" s="60"/>
      <c r="L53" s="58">
        <f>SUMIFS(Journal!$D$5:$D$9970,Journal!$B$5:$B$9970,L$5,Journal!$C$5:$C$9970,$B52)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SUMIFS(Journal!$D$5:$D$9970,Journal!$B$5:$B$9970,D$5,Journal!$C$5:$C$9970,$B54)</f>
        <v>0</v>
      </c>
      <c r="E55" s="59"/>
      <c r="F55" s="58">
        <f>SUMIFS(Journal!$D$5:$D$9970,Journal!$B$5:$B$9970,F$5,Journal!$C$5:$C$9970,$B54)</f>
        <v>0</v>
      </c>
      <c r="G55" s="59"/>
      <c r="H55" s="58">
        <f>SUMIFS(Journal!$D$5:$D$9970,Journal!$B$5:$B$9970,H$5,Journal!$C$5:$C$9970,$B54)</f>
        <v>0</v>
      </c>
      <c r="I55" s="60"/>
      <c r="J55" s="58">
        <f>SUMIFS(Journal!$D$5:$D$9970,Journal!$B$5:$B$9970,J$5,Journal!$C$5:$C$9970,$B54)</f>
        <v>0</v>
      </c>
      <c r="K55" s="60"/>
      <c r="L55" s="58">
        <f>SUMIFS(Journal!$D$5:$D$9970,Journal!$B$5:$B$9970,L$5,Journal!$C$5:$C$9970,$B54)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0.14583333333333334</v>
      </c>
      <c r="I57" s="60"/>
      <c r="J57" s="58">
        <f>SUMIFS(Journal!$D$5:$D$9970,Journal!$B$5:$B$9970,J$5,Journal!$C$5:$C$9970,$B56)</f>
        <v>0</v>
      </c>
      <c r="K57" s="60"/>
      <c r="L57" s="58">
        <f>SUMIFS(Journal!$D$5:$D$9970,Journal!$B$5:$B$9970,L$5,Journal!$C$5:$C$9970,$B56)</f>
        <v>0</v>
      </c>
      <c r="M57" s="59"/>
      <c r="N57" s="61">
        <f t="shared" ref="N57" si="5">IF(SUM(D57:M57)=0,"",SUM(D57:M57))</f>
        <v>0.25</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30"/>
  <sheetViews>
    <sheetView tabSelected="1" zoomScale="85" zoomScaleNormal="85" workbookViewId="0">
      <pane ySplit="4" topLeftCell="A62" activePane="bottomLeft" state="frozen"/>
      <selection pane="bottomLeft" activeCell="E76" sqref="E76"/>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45071</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7" x14ac:dyDescent="0.25">
      <c r="A65" s="86"/>
      <c r="B65" s="98"/>
      <c r="C65" s="7"/>
      <c r="D65" s="90" t="s">
        <v>80</v>
      </c>
      <c r="E65" s="88" t="s">
        <v>108</v>
      </c>
    </row>
    <row r="66" spans="1:7" x14ac:dyDescent="0.25">
      <c r="A66" s="86">
        <v>45068</v>
      </c>
      <c r="B66" s="98">
        <v>4</v>
      </c>
      <c r="C66" s="7" t="s">
        <v>169</v>
      </c>
      <c r="D66" s="90" t="s">
        <v>170</v>
      </c>
      <c r="E66" s="88" t="s">
        <v>171</v>
      </c>
    </row>
    <row r="67" spans="1:7" ht="30" x14ac:dyDescent="0.25">
      <c r="A67" s="86"/>
      <c r="B67" s="98"/>
      <c r="C67" s="7" t="s">
        <v>37</v>
      </c>
      <c r="D67" s="90" t="s">
        <v>142</v>
      </c>
      <c r="E67" s="88" t="s">
        <v>172</v>
      </c>
    </row>
    <row r="68" spans="1:7" ht="30" x14ac:dyDescent="0.25">
      <c r="A68" s="86"/>
      <c r="B68" s="98"/>
      <c r="C68" s="7" t="s">
        <v>38</v>
      </c>
      <c r="D68" s="90" t="s">
        <v>123</v>
      </c>
      <c r="E68" s="88" t="s">
        <v>173</v>
      </c>
    </row>
    <row r="69" spans="1:7" x14ac:dyDescent="0.25">
      <c r="A69" s="86"/>
      <c r="B69" s="98"/>
      <c r="C69" s="7"/>
      <c r="D69" s="90" t="s">
        <v>124</v>
      </c>
      <c r="E69" s="88" t="s">
        <v>141</v>
      </c>
    </row>
    <row r="70" spans="1:7" ht="60" x14ac:dyDescent="0.25">
      <c r="A70" s="86">
        <v>45069</v>
      </c>
      <c r="B70" s="98">
        <v>4</v>
      </c>
      <c r="C70" s="7" t="s">
        <v>37</v>
      </c>
      <c r="D70" s="90" t="s">
        <v>126</v>
      </c>
      <c r="E70" s="88" t="s">
        <v>174</v>
      </c>
    </row>
    <row r="71" spans="1:7" ht="45" x14ac:dyDescent="0.25">
      <c r="A71" s="86"/>
      <c r="B71" s="98"/>
      <c r="C71" s="7" t="s">
        <v>162</v>
      </c>
      <c r="D71" s="90" t="s">
        <v>170</v>
      </c>
      <c r="E71" s="88" t="s">
        <v>175</v>
      </c>
    </row>
    <row r="72" spans="1:7" x14ac:dyDescent="0.25">
      <c r="A72" s="86"/>
      <c r="B72" s="98"/>
      <c r="C72" s="7" t="s">
        <v>38</v>
      </c>
      <c r="D72" s="90" t="s">
        <v>176</v>
      </c>
      <c r="E72" s="88" t="s">
        <v>177</v>
      </c>
    </row>
    <row r="73" spans="1:7" x14ac:dyDescent="0.25">
      <c r="A73" s="86"/>
      <c r="B73" s="98"/>
      <c r="C73" s="7"/>
      <c r="D73" s="90" t="s">
        <v>178</v>
      </c>
      <c r="E73" s="88" t="s">
        <v>179</v>
      </c>
    </row>
    <row r="74" spans="1:7" x14ac:dyDescent="0.25">
      <c r="A74" s="86">
        <v>45070</v>
      </c>
      <c r="B74" s="98">
        <v>4</v>
      </c>
      <c r="C74" s="7" t="s">
        <v>38</v>
      </c>
      <c r="D74" s="90" t="s">
        <v>180</v>
      </c>
      <c r="E74" s="88" t="s">
        <v>181</v>
      </c>
    </row>
    <row r="75" spans="1:7" x14ac:dyDescent="0.25">
      <c r="A75" s="86"/>
      <c r="B75" s="98"/>
      <c r="C75" s="7"/>
      <c r="D75" s="90" t="s">
        <v>80</v>
      </c>
      <c r="E75" s="88" t="s">
        <v>179</v>
      </c>
    </row>
    <row r="76" spans="1:7" x14ac:dyDescent="0.25">
      <c r="A76" s="86">
        <v>45071</v>
      </c>
      <c r="B76" s="98">
        <v>4</v>
      </c>
      <c r="C76" s="7" t="s">
        <v>38</v>
      </c>
      <c r="D76" s="90" t="s">
        <v>180</v>
      </c>
      <c r="E76" s="88" t="s">
        <v>182</v>
      </c>
    </row>
    <row r="77" spans="1:7" x14ac:dyDescent="0.25">
      <c r="A77" s="86"/>
      <c r="B77" s="98"/>
      <c r="C77" s="7"/>
      <c r="D77" s="90" t="s">
        <v>80</v>
      </c>
      <c r="E77" s="88" t="s">
        <v>141</v>
      </c>
    </row>
    <row r="78" spans="1:7" x14ac:dyDescent="0.25">
      <c r="A78" s="86">
        <v>45076</v>
      </c>
      <c r="B78" s="98">
        <v>5</v>
      </c>
      <c r="C78" s="7"/>
      <c r="D78" s="90"/>
      <c r="E78" s="88"/>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c r="C99" s="107"/>
      <c r="D99" s="108"/>
      <c r="E99" s="109"/>
      <c r="F99" s="110"/>
      <c r="G99" s="110"/>
    </row>
    <row r="100" spans="1:7" x14ac:dyDescent="0.25">
      <c r="A100" s="105"/>
      <c r="B100" s="106"/>
      <c r="C100" s="107"/>
      <c r="D100" s="108"/>
      <c r="E100" s="109"/>
      <c r="F100" s="110"/>
      <c r="G100" s="110"/>
    </row>
    <row r="101" spans="1:7" x14ac:dyDescent="0.25">
      <c r="A101" s="105"/>
      <c r="B101" s="106"/>
      <c r="C101" s="107"/>
      <c r="D101" s="108"/>
      <c r="E101" s="109"/>
      <c r="F101" s="110"/>
      <c r="G101" s="110"/>
    </row>
    <row r="102" spans="1:7" x14ac:dyDescent="0.25">
      <c r="A102" s="105"/>
      <c r="B102" s="106"/>
      <c r="C102" s="107"/>
      <c r="D102" s="108"/>
      <c r="E102" s="109"/>
      <c r="F102" s="110"/>
      <c r="G102" s="110"/>
    </row>
    <row r="103" spans="1:7" x14ac:dyDescent="0.25">
      <c r="A103" s="105"/>
      <c r="B103" s="106"/>
      <c r="C103" s="107"/>
      <c r="D103" s="108"/>
      <c r="E103" s="109"/>
      <c r="F103" s="110"/>
      <c r="G103" s="110"/>
    </row>
    <row r="104" spans="1:7" x14ac:dyDescent="0.25">
      <c r="A104" s="105"/>
      <c r="B104" s="106">
        <f t="shared" ref="B104:B167" si="0">WEEKNUM(A104,1)</f>
        <v>0</v>
      </c>
      <c r="C104" s="107"/>
      <c r="D104" s="108"/>
      <c r="E104" s="109"/>
      <c r="F104" s="110"/>
      <c r="G104" s="110"/>
    </row>
    <row r="105" spans="1:7" x14ac:dyDescent="0.25">
      <c r="A105" s="100"/>
      <c r="B105" s="101">
        <f t="shared" si="0"/>
        <v>0</v>
      </c>
      <c r="C105" s="102"/>
      <c r="D105" s="103"/>
      <c r="E105" s="104"/>
    </row>
    <row r="106" spans="1:7" x14ac:dyDescent="0.25">
      <c r="A106" s="87"/>
      <c r="B106" s="99">
        <f t="shared" si="0"/>
        <v>0</v>
      </c>
      <c r="C106" s="8"/>
      <c r="D106" s="91"/>
      <c r="E106" s="89"/>
    </row>
    <row r="107" spans="1:7" x14ac:dyDescent="0.25">
      <c r="A107" s="87"/>
      <c r="B107" s="99">
        <f t="shared" si="0"/>
        <v>0</v>
      </c>
      <c r="C107" s="8"/>
      <c r="D107" s="91"/>
      <c r="E107" s="89"/>
    </row>
    <row r="108" spans="1:7" x14ac:dyDescent="0.25">
      <c r="A108" s="87"/>
      <c r="B108" s="99">
        <f t="shared" si="0"/>
        <v>0</v>
      </c>
      <c r="C108" s="8"/>
      <c r="D108" s="91"/>
      <c r="E108" s="89"/>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si="0"/>
        <v>0</v>
      </c>
      <c r="C163" s="8"/>
      <c r="D163" s="91"/>
      <c r="E163" s="89"/>
    </row>
    <row r="164" spans="1:5" x14ac:dyDescent="0.25">
      <c r="A164" s="87"/>
      <c r="B164" s="99">
        <f t="shared" si="0"/>
        <v>0</v>
      </c>
      <c r="C164" s="8"/>
      <c r="D164" s="91"/>
      <c r="E164" s="89"/>
    </row>
    <row r="165" spans="1:5" x14ac:dyDescent="0.25">
      <c r="A165" s="87"/>
      <c r="B165" s="99">
        <f t="shared" si="0"/>
        <v>0</v>
      </c>
      <c r="C165" s="8"/>
      <c r="D165" s="91"/>
      <c r="E165" s="89"/>
    </row>
    <row r="166" spans="1:5" x14ac:dyDescent="0.25">
      <c r="A166" s="87"/>
      <c r="B166" s="99">
        <f t="shared" si="0"/>
        <v>0</v>
      </c>
      <c r="C166" s="8"/>
      <c r="D166" s="91"/>
      <c r="E166" s="89"/>
    </row>
    <row r="167" spans="1:5" x14ac:dyDescent="0.25">
      <c r="A167" s="87"/>
      <c r="B167" s="99">
        <f t="shared" si="0"/>
        <v>0</v>
      </c>
      <c r="C167" s="8"/>
      <c r="D167" s="91"/>
      <c r="E167" s="89"/>
    </row>
    <row r="168" spans="1:5" x14ac:dyDescent="0.25">
      <c r="A168" s="87"/>
      <c r="B168" s="99">
        <f t="shared" ref="B168:B231" si="1">WEEKNUM(A168,1)</f>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si="1"/>
        <v>0</v>
      </c>
      <c r="C227" s="8"/>
      <c r="D227" s="91"/>
      <c r="E227" s="89"/>
    </row>
    <row r="228" spans="1:5" x14ac:dyDescent="0.25">
      <c r="A228" s="87"/>
      <c r="B228" s="99">
        <f t="shared" si="1"/>
        <v>0</v>
      </c>
      <c r="C228" s="8"/>
      <c r="D228" s="91"/>
      <c r="E228" s="89"/>
    </row>
    <row r="229" spans="1:5" x14ac:dyDescent="0.25">
      <c r="A229" s="87"/>
      <c r="B229" s="99">
        <f t="shared" si="1"/>
        <v>0</v>
      </c>
      <c r="C229" s="8"/>
      <c r="D229" s="91"/>
      <c r="E229" s="89"/>
    </row>
    <row r="230" spans="1:5" x14ac:dyDescent="0.25">
      <c r="A230" s="87"/>
      <c r="B230" s="99">
        <f t="shared" si="1"/>
        <v>0</v>
      </c>
      <c r="C230" s="8"/>
      <c r="D230" s="91"/>
      <c r="E230" s="89"/>
    </row>
    <row r="231" spans="1:5" x14ac:dyDescent="0.25">
      <c r="A231" s="87"/>
      <c r="B231" s="99">
        <f t="shared" si="1"/>
        <v>0</v>
      </c>
      <c r="C231" s="8"/>
      <c r="D231" s="91"/>
      <c r="E231" s="89"/>
    </row>
    <row r="232" spans="1:5" x14ac:dyDescent="0.25">
      <c r="A232" s="87"/>
      <c r="B232" s="99">
        <f t="shared" ref="B232:B295" si="2">WEEKNUM(A232,1)</f>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si="2"/>
        <v>0</v>
      </c>
      <c r="C291" s="8"/>
      <c r="D291" s="91"/>
      <c r="E291" s="89"/>
    </row>
    <row r="292" spans="1:5" x14ac:dyDescent="0.25">
      <c r="A292" s="87"/>
      <c r="B292" s="99">
        <f t="shared" si="2"/>
        <v>0</v>
      </c>
      <c r="C292" s="8"/>
      <c r="D292" s="91"/>
      <c r="E292" s="89"/>
    </row>
    <row r="293" spans="1:5" x14ac:dyDescent="0.25">
      <c r="A293" s="87"/>
      <c r="B293" s="99">
        <f t="shared" si="2"/>
        <v>0</v>
      </c>
      <c r="C293" s="8"/>
      <c r="D293" s="91"/>
      <c r="E293" s="89"/>
    </row>
    <row r="294" spans="1:5" x14ac:dyDescent="0.25">
      <c r="A294" s="87"/>
      <c r="B294" s="99">
        <f t="shared" si="2"/>
        <v>0</v>
      </c>
      <c r="C294" s="8"/>
      <c r="D294" s="91"/>
      <c r="E294" s="89"/>
    </row>
    <row r="295" spans="1:5" x14ac:dyDescent="0.25">
      <c r="A295" s="87"/>
      <c r="B295" s="99">
        <f t="shared" si="2"/>
        <v>0</v>
      </c>
      <c r="C295" s="8"/>
      <c r="D295" s="91"/>
      <c r="E295" s="89"/>
    </row>
    <row r="296" spans="1:5" x14ac:dyDescent="0.25">
      <c r="A296" s="87"/>
      <c r="B296" s="99">
        <f t="shared" ref="B296:B359" si="3">WEEKNUM(A296,1)</f>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si="3"/>
        <v>0</v>
      </c>
      <c r="C355" s="8"/>
      <c r="D355" s="91"/>
      <c r="E355" s="89"/>
    </row>
    <row r="356" spans="1:5" x14ac:dyDescent="0.25">
      <c r="A356" s="87"/>
      <c r="B356" s="99">
        <f t="shared" si="3"/>
        <v>0</v>
      </c>
      <c r="C356" s="8"/>
      <c r="D356" s="91"/>
      <c r="E356" s="89"/>
    </row>
    <row r="357" spans="1:5" x14ac:dyDescent="0.25">
      <c r="A357" s="87"/>
      <c r="B357" s="99">
        <f t="shared" si="3"/>
        <v>0</v>
      </c>
      <c r="C357" s="8"/>
      <c r="D357" s="91"/>
      <c r="E357" s="89"/>
    </row>
    <row r="358" spans="1:5" x14ac:dyDescent="0.25">
      <c r="A358" s="87"/>
      <c r="B358" s="99">
        <f t="shared" si="3"/>
        <v>0</v>
      </c>
      <c r="C358" s="8"/>
      <c r="D358" s="91"/>
      <c r="E358" s="89"/>
    </row>
    <row r="359" spans="1:5" x14ac:dyDescent="0.25">
      <c r="A359" s="87"/>
      <c r="B359" s="99">
        <f t="shared" si="3"/>
        <v>0</v>
      </c>
      <c r="C359" s="8"/>
      <c r="D359" s="91"/>
      <c r="E359" s="89"/>
    </row>
    <row r="360" spans="1:5" x14ac:dyDescent="0.25">
      <c r="A360" s="87"/>
      <c r="B360" s="99">
        <f t="shared" ref="B360:B423" si="4">WEEKNUM(A360,1)</f>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si="4"/>
        <v>0</v>
      </c>
      <c r="C419" s="8"/>
      <c r="D419" s="91"/>
      <c r="E419" s="89"/>
    </row>
    <row r="420" spans="1:5" x14ac:dyDescent="0.25">
      <c r="A420" s="87"/>
      <c r="B420" s="99">
        <f t="shared" si="4"/>
        <v>0</v>
      </c>
      <c r="C420" s="8"/>
      <c r="D420" s="91"/>
      <c r="E420" s="89"/>
    </row>
    <row r="421" spans="1:5" x14ac:dyDescent="0.25">
      <c r="A421" s="87"/>
      <c r="B421" s="99">
        <f t="shared" si="4"/>
        <v>0</v>
      </c>
      <c r="C421" s="8"/>
      <c r="D421" s="91"/>
      <c r="E421" s="89"/>
    </row>
    <row r="422" spans="1:5" x14ac:dyDescent="0.25">
      <c r="A422" s="87"/>
      <c r="B422" s="99">
        <f t="shared" si="4"/>
        <v>0</v>
      </c>
      <c r="C422" s="8"/>
      <c r="D422" s="91"/>
      <c r="E422" s="89"/>
    </row>
    <row r="423" spans="1:5" x14ac:dyDescent="0.25">
      <c r="A423" s="87"/>
      <c r="B423" s="99">
        <f t="shared" si="4"/>
        <v>0</v>
      </c>
      <c r="C423" s="8"/>
      <c r="D423" s="91"/>
      <c r="E423" s="89"/>
    </row>
    <row r="424" spans="1:5" x14ac:dyDescent="0.25">
      <c r="A424" s="87"/>
      <c r="B424" s="99">
        <f t="shared" ref="B424:B487" si="5">WEEKNUM(A424,1)</f>
        <v>0</v>
      </c>
      <c r="C424" s="8"/>
      <c r="D424" s="91"/>
      <c r="E424" s="89"/>
    </row>
    <row r="425" spans="1:5" x14ac:dyDescent="0.25">
      <c r="A425" s="87"/>
      <c r="B425" s="99">
        <f t="shared" si="5"/>
        <v>0</v>
      </c>
      <c r="C425" s="8"/>
      <c r="D425" s="91"/>
      <c r="E425" s="89"/>
    </row>
    <row r="426" spans="1:5" x14ac:dyDescent="0.25">
      <c r="A426" s="87"/>
      <c r="B426" s="99">
        <f t="shared" si="5"/>
        <v>0</v>
      </c>
      <c r="C426" s="8"/>
      <c r="D426" s="91"/>
      <c r="E426" s="89"/>
    </row>
    <row r="427" spans="1:5" x14ac:dyDescent="0.25">
      <c r="A427" s="87"/>
      <c r="B427" s="99">
        <f t="shared" si="5"/>
        <v>0</v>
      </c>
      <c r="C427" s="8"/>
      <c r="D427" s="91"/>
      <c r="E427" s="89"/>
    </row>
    <row r="428" spans="1:5" x14ac:dyDescent="0.25">
      <c r="A428" s="87"/>
      <c r="B428" s="99">
        <f t="shared" si="5"/>
        <v>0</v>
      </c>
      <c r="C428" s="8"/>
      <c r="D428" s="91"/>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si="5"/>
        <v>0</v>
      </c>
      <c r="C483" s="8"/>
      <c r="D483" s="90"/>
      <c r="E483" s="89"/>
    </row>
    <row r="484" spans="1:5" x14ac:dyDescent="0.25">
      <c r="A484" s="86"/>
      <c r="B484" s="98">
        <f t="shared" si="5"/>
        <v>0</v>
      </c>
      <c r="C484" s="8"/>
      <c r="D484" s="90"/>
      <c r="E484" s="89"/>
    </row>
    <row r="485" spans="1:5" x14ac:dyDescent="0.25">
      <c r="A485" s="86"/>
      <c r="B485" s="98">
        <f t="shared" si="5"/>
        <v>0</v>
      </c>
      <c r="C485" s="8"/>
      <c r="D485" s="90"/>
      <c r="E485" s="89"/>
    </row>
    <row r="486" spans="1:5" x14ac:dyDescent="0.25">
      <c r="A486" s="86"/>
      <c r="B486" s="98">
        <f t="shared" si="5"/>
        <v>0</v>
      </c>
      <c r="C486" s="8"/>
      <c r="D486" s="90"/>
      <c r="E486" s="89"/>
    </row>
    <row r="487" spans="1:5" x14ac:dyDescent="0.25">
      <c r="A487" s="86"/>
      <c r="B487" s="98">
        <f t="shared" si="5"/>
        <v>0</v>
      </c>
      <c r="C487" s="8"/>
      <c r="D487" s="90"/>
      <c r="E487" s="89"/>
    </row>
    <row r="488" spans="1:5" x14ac:dyDescent="0.25">
      <c r="A488" s="86"/>
      <c r="B488" s="98">
        <f t="shared" ref="B488:B551" si="6">WEEKNUM(A488,1)</f>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si="6"/>
        <v>0</v>
      </c>
      <c r="C547" s="8"/>
      <c r="D547" s="90"/>
      <c r="E547" s="89"/>
    </row>
    <row r="548" spans="1:5" x14ac:dyDescent="0.25">
      <c r="A548" s="86"/>
      <c r="B548" s="98">
        <f t="shared" si="6"/>
        <v>0</v>
      </c>
      <c r="C548" s="8"/>
      <c r="D548" s="90"/>
      <c r="E548" s="89"/>
    </row>
    <row r="549" spans="1:5" x14ac:dyDescent="0.25">
      <c r="A549" s="86"/>
      <c r="B549" s="98">
        <f t="shared" si="6"/>
        <v>0</v>
      </c>
      <c r="C549" s="8"/>
      <c r="D549" s="90"/>
      <c r="E549" s="89"/>
    </row>
    <row r="550" spans="1:5" x14ac:dyDescent="0.25">
      <c r="A550" s="86"/>
      <c r="B550" s="98">
        <f t="shared" si="6"/>
        <v>0</v>
      </c>
      <c r="C550" s="8"/>
      <c r="D550" s="90"/>
      <c r="E550" s="89"/>
    </row>
    <row r="551" spans="1:5" x14ac:dyDescent="0.25">
      <c r="A551" s="86"/>
      <c r="B551" s="98">
        <f t="shared" si="6"/>
        <v>0</v>
      </c>
      <c r="C551" s="8"/>
      <c r="D551" s="90"/>
      <c r="E551" s="89"/>
    </row>
    <row r="552" spans="1:5" x14ac:dyDescent="0.25">
      <c r="A552" s="86"/>
      <c r="B552" s="98">
        <f t="shared" ref="B552:B615" si="7">WEEKNUM(A552,1)</f>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si="7"/>
        <v>0</v>
      </c>
      <c r="C611" s="8"/>
      <c r="D611" s="90"/>
      <c r="E611" s="89"/>
    </row>
    <row r="612" spans="1:5" x14ac:dyDescent="0.25">
      <c r="A612" s="86"/>
      <c r="B612" s="98">
        <f t="shared" si="7"/>
        <v>0</v>
      </c>
      <c r="C612" s="8"/>
      <c r="D612" s="90"/>
      <c r="E612" s="89"/>
    </row>
    <row r="613" spans="1:5" x14ac:dyDescent="0.25">
      <c r="A613" s="86"/>
      <c r="B613" s="98">
        <f t="shared" si="7"/>
        <v>0</v>
      </c>
      <c r="C613" s="8"/>
      <c r="D613" s="90"/>
      <c r="E613" s="89"/>
    </row>
    <row r="614" spans="1:5" x14ac:dyDescent="0.25">
      <c r="A614" s="86"/>
      <c r="B614" s="98">
        <f t="shared" si="7"/>
        <v>0</v>
      </c>
      <c r="C614" s="8"/>
      <c r="D614" s="90"/>
      <c r="E614" s="89"/>
    </row>
    <row r="615" spans="1:5" x14ac:dyDescent="0.25">
      <c r="A615" s="86"/>
      <c r="B615" s="98">
        <f t="shared" si="7"/>
        <v>0</v>
      </c>
      <c r="C615" s="8"/>
      <c r="D615" s="90"/>
      <c r="E615" s="89"/>
    </row>
    <row r="616" spans="1:5" x14ac:dyDescent="0.25">
      <c r="A616" s="86"/>
      <c r="B616" s="98">
        <f t="shared" ref="B616:B679" si="8">WEEKNUM(A616,1)</f>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si="8"/>
        <v>0</v>
      </c>
      <c r="C675" s="8"/>
      <c r="D675" s="90"/>
      <c r="E675" s="89"/>
    </row>
    <row r="676" spans="1:5" x14ac:dyDescent="0.25">
      <c r="A676" s="86"/>
      <c r="B676" s="98">
        <f t="shared" si="8"/>
        <v>0</v>
      </c>
      <c r="C676" s="8"/>
      <c r="D676" s="90"/>
      <c r="E676" s="89"/>
    </row>
    <row r="677" spans="1:5" x14ac:dyDescent="0.25">
      <c r="A677" s="86"/>
      <c r="B677" s="98">
        <f t="shared" si="8"/>
        <v>0</v>
      </c>
      <c r="C677" s="8"/>
      <c r="D677" s="90"/>
      <c r="E677" s="89"/>
    </row>
    <row r="678" spans="1:5" x14ac:dyDescent="0.25">
      <c r="A678" s="86"/>
      <c r="B678" s="98">
        <f t="shared" si="8"/>
        <v>0</v>
      </c>
      <c r="C678" s="8"/>
      <c r="D678" s="90"/>
      <c r="E678" s="89"/>
    </row>
    <row r="679" spans="1:5" x14ac:dyDescent="0.25">
      <c r="A679" s="86"/>
      <c r="B679" s="98">
        <f t="shared" si="8"/>
        <v>0</v>
      </c>
      <c r="C679" s="8"/>
      <c r="D679" s="90"/>
      <c r="E679" s="89"/>
    </row>
    <row r="680" spans="1:5" x14ac:dyDescent="0.25">
      <c r="A680" s="86"/>
      <c r="B680" s="98">
        <f t="shared" ref="B680:B730" si="9">WEEKNUM(A680,1)</f>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row r="726" spans="1:5" x14ac:dyDescent="0.25">
      <c r="A726" s="86"/>
      <c r="B726" s="98">
        <f t="shared" si="9"/>
        <v>0</v>
      </c>
      <c r="C726" s="8"/>
      <c r="D726" s="90"/>
      <c r="E726" s="89"/>
    </row>
    <row r="727" spans="1:5" x14ac:dyDescent="0.25">
      <c r="A727" s="86"/>
      <c r="B727" s="98">
        <f t="shared" si="9"/>
        <v>0</v>
      </c>
      <c r="C727" s="8"/>
      <c r="D727" s="90"/>
      <c r="E727" s="89"/>
    </row>
    <row r="728" spans="1:5" x14ac:dyDescent="0.25">
      <c r="A728" s="86"/>
      <c r="B728" s="98">
        <f t="shared" si="9"/>
        <v>0</v>
      </c>
      <c r="C728" s="8"/>
      <c r="D728" s="90"/>
      <c r="E728" s="89"/>
    </row>
    <row r="729" spans="1:5" x14ac:dyDescent="0.25">
      <c r="A729" s="86"/>
      <c r="B729" s="98">
        <f t="shared" si="9"/>
        <v>0</v>
      </c>
      <c r="C729" s="8"/>
      <c r="D729" s="90"/>
      <c r="E729" s="89"/>
    </row>
    <row r="730" spans="1:5" x14ac:dyDescent="0.25">
      <c r="A730" s="86"/>
      <c r="B730" s="98">
        <f t="shared" si="9"/>
        <v>0</v>
      </c>
      <c r="C730" s="8"/>
      <c r="D730" s="90"/>
      <c r="E730"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C5:C730</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2023-05-25T10:06:43Z</dcterms:modified>
</cp:coreProperties>
</file>